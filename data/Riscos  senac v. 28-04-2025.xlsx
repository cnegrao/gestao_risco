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andressa.vaz\Downloads\"/>
    </mc:Choice>
  </mc:AlternateContent>
  <xr:revisionPtr revIDLastSave="0" documentId="13_ncr:1_{1C0774FE-BD9D-420A-B5D0-BEA8FD8FC6FE}" xr6:coauthVersionLast="47" xr6:coauthVersionMax="47" xr10:uidLastSave="{00000000-0000-0000-0000-000000000000}"/>
  <bookViews>
    <workbookView xWindow="28680" yWindow="-120" windowWidth="29040" windowHeight="15720" tabRatio="931" xr2:uid="{00000000-000D-0000-FFFF-FFFF00000000}"/>
  </bookViews>
  <sheets>
    <sheet name="Análise de riscos " sheetId="43" r:id="rId1"/>
    <sheet name="Plano de Tratamento " sheetId="60" r:id="rId2"/>
    <sheet name="Matriz CRC" sheetId="51" r:id="rId3"/>
    <sheet name="Controle-avaliação" sheetId="56" r:id="rId4"/>
    <sheet name="Probabilidade e Impacto" sheetId="49" r:id="rId5"/>
    <sheet name="Escala Nível de Risco" sheetId="54" r:id="rId6"/>
    <sheet name="Respostas aos riscos " sheetId="57" r:id="rId7"/>
    <sheet name="Plan1" sheetId="33" state="hidden" r:id="rId8"/>
    <sheet name="Sobre" sheetId="31" state="hidden" r:id="rId9"/>
    <sheet name="MapXConst.Controles" sheetId="8" state="hidden" r:id="rId10"/>
  </sheets>
  <externalReferences>
    <externalReference r:id="rId11"/>
    <externalReference r:id="rId12"/>
  </externalReferences>
  <definedNames>
    <definedName name="_xlnm._FilterDatabase" localSheetId="0" hidden="1">'Análise de riscos '!$A$6:$U$84</definedName>
    <definedName name="Ambiente_Externo">[1]Cadastro_Fatores!$B$4:$B$119</definedName>
    <definedName name="Área_Resp.">[2]BancoDados!$W$11:$W$12</definedName>
    <definedName name="Lista_Dedicacao">[2]BancoDados!$U$11:$U$12</definedName>
    <definedName name="Lista_Nível_de_Gerenciamento">[2]BancoDados!$E$11:$E$13</definedName>
    <definedName name="Matrícula_Resp.">[2]BancoDados!$X$11:$X$12</definedName>
    <definedName name="Nome_Resp.">[2]BancoDados!$V$11:$V$12</definedName>
    <definedName name="Operacional">'Análise de riscos '!$I$10:$I$17</definedName>
    <definedName name="Processo_Apoio">[1]Cadastro_Fatores!$G$4:$G$110</definedName>
    <definedName name="Processo_Controle">[1]Cadastro_Fatores!$F$4:$F$53</definedName>
    <definedName name="Processo_Operacional">[1]Cadastro_Fatores!$E$4:$E$73</definedName>
    <definedName name="RH">[1]Cadastro_Fatores!$C$4:$C$90</definedName>
    <definedName name="Segurança">[1]Cadastro_Fatores!$D$4:$D$90</definedName>
    <definedName name="Status">#REF!</definedName>
    <definedName name="TipoProjeto">[2]BancoDados!$N$11:$N$12</definedName>
  </definedNames>
  <calcPr calcId="191029"/>
  <customWorkbookViews>
    <customWorkbookView name="33921040604 - Modo de exibição pessoal" guid="{1B4AE936-FA30-4AED-ABA3-0D66802EE8C5}" mergeInterval="0" personalView="1" maximized="1" xWindow="1" yWindow="1" windowWidth="1596" windowHeight="670" tabRatio="768" activeSheetId="12"/>
    <customWorkbookView name="23845805153 - Modo de exibição pessoal" guid="{2DBB1777-3400-47E9-BA4F-DF33B1E9CB70}" mergeInterval="0" personalView="1" maximized="1" xWindow="1" yWindow="1" windowWidth="1596" windowHeight="670" tabRatio="768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43" l="1"/>
  <c r="T10" i="43" s="1"/>
  <c r="U10" i="43" s="1"/>
  <c r="S11" i="43"/>
  <c r="T11" i="43" s="1"/>
  <c r="U11" i="43" s="1"/>
  <c r="S12" i="43"/>
  <c r="T12" i="43" s="1"/>
  <c r="U12" i="43" s="1"/>
  <c r="S13" i="43"/>
  <c r="T13" i="43" s="1"/>
  <c r="U13" i="43" s="1"/>
  <c r="S14" i="43"/>
  <c r="T14" i="43" s="1"/>
  <c r="U14" i="43" s="1"/>
  <c r="S15" i="43"/>
  <c r="T15" i="43" s="1"/>
  <c r="U15" i="43" s="1"/>
  <c r="S16" i="43"/>
  <c r="T16" i="43" s="1"/>
  <c r="U16" i="43" s="1"/>
  <c r="S17" i="43"/>
  <c r="T17" i="43" s="1"/>
  <c r="U17" i="43" s="1"/>
  <c r="S18" i="43"/>
  <c r="T18" i="43" s="1"/>
  <c r="U18" i="43" s="1"/>
  <c r="S19" i="43"/>
  <c r="T19" i="43" s="1"/>
  <c r="U19" i="43" s="1"/>
  <c r="S20" i="43"/>
  <c r="T20" i="43" s="1"/>
  <c r="U20" i="43" s="1"/>
  <c r="S21" i="43"/>
  <c r="T21" i="43" s="1"/>
  <c r="U21" i="43" s="1"/>
  <c r="S22" i="43"/>
  <c r="T22" i="43" s="1"/>
  <c r="U22" i="43" s="1"/>
  <c r="S23" i="43"/>
  <c r="T23" i="43" s="1"/>
  <c r="U23" i="43" s="1"/>
  <c r="S24" i="43"/>
  <c r="T24" i="43" s="1"/>
  <c r="U24" i="43" s="1"/>
  <c r="S25" i="43"/>
  <c r="T25" i="43" s="1"/>
  <c r="U25" i="43" s="1"/>
  <c r="S26" i="43"/>
  <c r="T26" i="43" s="1"/>
  <c r="U26" i="43" s="1"/>
  <c r="S27" i="43"/>
  <c r="T27" i="43" s="1"/>
  <c r="U27" i="43" s="1"/>
  <c r="S28" i="43"/>
  <c r="T28" i="43" s="1"/>
  <c r="U28" i="43" s="1"/>
  <c r="S29" i="43"/>
  <c r="T29" i="43" s="1"/>
  <c r="U29" i="43" s="1"/>
  <c r="S30" i="43"/>
  <c r="T30" i="43" s="1"/>
  <c r="U30" i="43" s="1"/>
  <c r="S31" i="43"/>
  <c r="T31" i="43" s="1"/>
  <c r="U31" i="43" s="1"/>
  <c r="S32" i="43"/>
  <c r="T32" i="43" s="1"/>
  <c r="U32" i="43" s="1"/>
  <c r="S33" i="43"/>
  <c r="T33" i="43" s="1"/>
  <c r="U33" i="43" s="1"/>
  <c r="S34" i="43"/>
  <c r="T34" i="43" s="1"/>
  <c r="U34" i="43" s="1"/>
  <c r="S35" i="43"/>
  <c r="T35" i="43" s="1"/>
  <c r="U35" i="43" s="1"/>
  <c r="S36" i="43"/>
  <c r="T36" i="43" s="1"/>
  <c r="U36" i="43" s="1"/>
  <c r="S37" i="43"/>
  <c r="T37" i="43" s="1"/>
  <c r="U37" i="43" s="1"/>
  <c r="S38" i="43"/>
  <c r="T38" i="43" s="1"/>
  <c r="U38" i="43" s="1"/>
  <c r="S39" i="43"/>
  <c r="T39" i="43" s="1"/>
  <c r="U39" i="43" s="1"/>
  <c r="S40" i="43"/>
  <c r="T40" i="43" s="1"/>
  <c r="U40" i="43" s="1"/>
  <c r="S41" i="43"/>
  <c r="T41" i="43" s="1"/>
  <c r="U41" i="43" s="1"/>
  <c r="S42" i="43"/>
  <c r="T42" i="43" s="1"/>
  <c r="U42" i="43" s="1"/>
  <c r="S43" i="43"/>
  <c r="T43" i="43" s="1"/>
  <c r="U43" i="43" s="1"/>
  <c r="S44" i="43"/>
  <c r="T44" i="43" s="1"/>
  <c r="U44" i="43" s="1"/>
  <c r="S45" i="43"/>
  <c r="T45" i="43" s="1"/>
  <c r="U45" i="43" s="1"/>
  <c r="S46" i="43"/>
  <c r="T46" i="43" s="1"/>
  <c r="U46" i="43" s="1"/>
  <c r="S47" i="43"/>
  <c r="T47" i="43" s="1"/>
  <c r="U47" i="43" s="1"/>
  <c r="S48" i="43"/>
  <c r="T48" i="43" s="1"/>
  <c r="U48" i="43" s="1"/>
  <c r="S49" i="43"/>
  <c r="T49" i="43" s="1"/>
  <c r="U49" i="43" s="1"/>
  <c r="S50" i="43"/>
  <c r="T50" i="43" s="1"/>
  <c r="U50" i="43" s="1"/>
  <c r="S51" i="43"/>
  <c r="T51" i="43" s="1"/>
  <c r="U51" i="43" s="1"/>
  <c r="S52" i="43"/>
  <c r="T52" i="43" s="1"/>
  <c r="U52" i="43" s="1"/>
  <c r="S53" i="43"/>
  <c r="T53" i="43" s="1"/>
  <c r="U53" i="43" s="1"/>
  <c r="S54" i="43"/>
  <c r="T54" i="43" s="1"/>
  <c r="U54" i="43" s="1"/>
  <c r="S55" i="43"/>
  <c r="T55" i="43" s="1"/>
  <c r="U55" i="43" s="1"/>
  <c r="S56" i="43"/>
  <c r="T56" i="43" s="1"/>
  <c r="U56" i="43" s="1"/>
  <c r="S57" i="43"/>
  <c r="T57" i="43" s="1"/>
  <c r="U57" i="43" s="1"/>
  <c r="S58" i="43"/>
  <c r="T58" i="43" s="1"/>
  <c r="U58" i="43" s="1"/>
  <c r="S59" i="43"/>
  <c r="T59" i="43" s="1"/>
  <c r="U59" i="43" s="1"/>
  <c r="S60" i="43"/>
  <c r="T60" i="43" s="1"/>
  <c r="U60" i="43" s="1"/>
  <c r="S61" i="43"/>
  <c r="T61" i="43" s="1"/>
  <c r="U61" i="43" s="1"/>
  <c r="S62" i="43"/>
  <c r="T62" i="43" s="1"/>
  <c r="U62" i="43" s="1"/>
  <c r="S63" i="43"/>
  <c r="T63" i="43" s="1"/>
  <c r="U63" i="43" s="1"/>
  <c r="S64" i="43"/>
  <c r="T64" i="43" s="1"/>
  <c r="U64" i="43" s="1"/>
  <c r="S65" i="43"/>
  <c r="T65" i="43" s="1"/>
  <c r="U65" i="43" s="1"/>
  <c r="S66" i="43"/>
  <c r="T66" i="43" s="1"/>
  <c r="U66" i="43" s="1"/>
  <c r="S67" i="43"/>
  <c r="T67" i="43" s="1"/>
  <c r="U67" i="43" s="1"/>
  <c r="S68" i="43"/>
  <c r="T68" i="43" s="1"/>
  <c r="U68" i="43" s="1"/>
  <c r="S69" i="43"/>
  <c r="T69" i="43" s="1"/>
  <c r="U69" i="43" s="1"/>
  <c r="S70" i="43"/>
  <c r="T70" i="43" s="1"/>
  <c r="U70" i="43" s="1"/>
  <c r="S71" i="43"/>
  <c r="T71" i="43" s="1"/>
  <c r="U71" i="43" s="1"/>
  <c r="S72" i="43"/>
  <c r="T72" i="43" s="1"/>
  <c r="U72" i="43" s="1"/>
  <c r="S73" i="43"/>
  <c r="T73" i="43" s="1"/>
  <c r="U73" i="43" s="1"/>
  <c r="S74" i="43"/>
  <c r="T74" i="43" s="1"/>
  <c r="U74" i="43" s="1"/>
  <c r="S75" i="43"/>
  <c r="T75" i="43" s="1"/>
  <c r="U75" i="43" s="1"/>
  <c r="S76" i="43"/>
  <c r="T76" i="43" s="1"/>
  <c r="U76" i="43" s="1"/>
  <c r="S77" i="43"/>
  <c r="T77" i="43" s="1"/>
  <c r="U77" i="43" s="1"/>
  <c r="S78" i="43"/>
  <c r="T78" i="43" s="1"/>
  <c r="U78" i="43" s="1"/>
  <c r="S79" i="43"/>
  <c r="T79" i="43" s="1"/>
  <c r="U79" i="43" s="1"/>
  <c r="S80" i="43"/>
  <c r="T80" i="43" s="1"/>
  <c r="U80" i="43" s="1"/>
  <c r="S81" i="43"/>
  <c r="T81" i="43" s="1"/>
  <c r="U81" i="43" s="1"/>
  <c r="S82" i="43"/>
  <c r="T82" i="43" s="1"/>
  <c r="U82" i="43" s="1"/>
  <c r="S83" i="43"/>
  <c r="T83" i="43" s="1"/>
  <c r="U83" i="43" s="1"/>
  <c r="S84" i="43"/>
  <c r="T84" i="43" s="1"/>
  <c r="U84" i="43" s="1"/>
  <c r="S9" i="43"/>
  <c r="T9" i="43" s="1"/>
  <c r="U9" i="43" l="1"/>
</calcChain>
</file>

<file path=xl/sharedStrings.xml><?xml version="1.0" encoding="utf-8"?>
<sst xmlns="http://schemas.openxmlformats.org/spreadsheetml/2006/main" count="1533" uniqueCount="674">
  <si>
    <r>
      <t>1)</t>
    </r>
    <r>
      <rPr>
        <sz val="7"/>
        <rFont val="Times New Roman"/>
        <family val="1"/>
      </rPr>
      <t xml:space="preserve">    </t>
    </r>
    <r>
      <rPr>
        <sz val="14"/>
        <rFont val="Calibri"/>
        <family val="2"/>
      </rPr>
      <t>Artefatos de mapeamento e construção de controles</t>
    </r>
  </si>
  <si>
    <t>IMPACTO</t>
  </si>
  <si>
    <t>Pontuação</t>
  </si>
  <si>
    <t>Descrição do Nível de Risco</t>
  </si>
  <si>
    <t>Versão: 1.1</t>
  </si>
  <si>
    <t>Alterações: 10/03/2017</t>
  </si>
  <si>
    <t>Data da criação: 09/03/2017</t>
  </si>
  <si>
    <t>Frequência Observada/Esperada</t>
  </si>
  <si>
    <t>Classificação do Impacto do Risco</t>
  </si>
  <si>
    <t>Classificação da Ocorrência do Risco</t>
  </si>
  <si>
    <t>Classificação do Risco</t>
  </si>
  <si>
    <t>Causas dos Riscos</t>
  </si>
  <si>
    <t>ESCALA DO NÍVEL DE RISCO</t>
  </si>
  <si>
    <t>Riscos</t>
  </si>
  <si>
    <t>Nível do Risco</t>
  </si>
  <si>
    <t>Evitar</t>
  </si>
  <si>
    <t>Reduzir</t>
  </si>
  <si>
    <t xml:space="preserve">Aceitar </t>
  </si>
  <si>
    <t>Média</t>
  </si>
  <si>
    <t>Baixa</t>
  </si>
  <si>
    <t>&gt; = 5 &lt; 15</t>
  </si>
  <si>
    <t>&gt; = 15</t>
  </si>
  <si>
    <t>&lt; 5</t>
  </si>
  <si>
    <t>Nível</t>
  </si>
  <si>
    <t>Reduzir a probabilidade ou impacto pela transferência do risco, como a contratação de seguros.</t>
  </si>
  <si>
    <t>Compartilhar</t>
  </si>
  <si>
    <t>Descrição dos Controles Atuais do Evento de Risco</t>
  </si>
  <si>
    <t>FINANCEIRO</t>
  </si>
  <si>
    <t xml:space="preserve">CONFORMIDADE </t>
  </si>
  <si>
    <t>Severo</t>
  </si>
  <si>
    <t>Moderado</t>
  </si>
  <si>
    <t>Leve</t>
  </si>
  <si>
    <t>Elevada</t>
  </si>
  <si>
    <t xml:space="preserve">Prejudica o caixa da empresa, causando prejuízos que impactam a continuidade dos negócios e aumenta consideravelmente a capacidade de pagar dívidas.  </t>
  </si>
  <si>
    <t xml:space="preserve">Impacta de modo considerável a gestão do caixa e a capacidade de pagamento de despesas e recursos para novos investimentos. </t>
  </si>
  <si>
    <t xml:space="preserve">IMAGEM </t>
  </si>
  <si>
    <t xml:space="preserve">Cobertura de caráter nacional, com abalo na confiança dos clientes.  </t>
  </si>
  <si>
    <t xml:space="preserve">Há conhecimento de um pequeno grupo de parte interessadas com abalo leve na confiança dos clientes e demais partes interessadas. </t>
  </si>
  <si>
    <t xml:space="preserve">RISCO </t>
  </si>
  <si>
    <t xml:space="preserve">Indica alta possibilidade de ocorrência de impactos significativos no Financeiro, Imagem e/ou Conformidade. </t>
  </si>
  <si>
    <t xml:space="preserve">Probabilidade </t>
  </si>
  <si>
    <t>Nível do impacto</t>
  </si>
  <si>
    <t xml:space="preserve">Leve </t>
  </si>
  <si>
    <t xml:space="preserve">PROBABILIDADE </t>
  </si>
  <si>
    <t>MATRIZ DE RISCOS</t>
  </si>
  <si>
    <t xml:space="preserve">AVALIAÇÃO DOS CONTROLES </t>
  </si>
  <si>
    <t xml:space="preserve">O evento tem menos de 30% de probabilidade de ocorrência, casual, inesperada e de pouco histórico.   </t>
  </si>
  <si>
    <t xml:space="preserve">O evento tem entre 30% e 70% de probabilidade de ocorrência. Trata-se de evento esperado, de frequência reduzida, com eventos já ocorridos (ou não) e de conhecimento das equipes/gestores. As circunstâncias indicam moderadamente a ocorrência.  </t>
  </si>
  <si>
    <t>O evento de riscos tem mais de 70% de probabilidade de ocorrência. É um evento repetitivo e constante, de grande ocorrência, as circunstâncias indicam que é provável acontecer.</t>
  </si>
  <si>
    <t xml:space="preserve">Descumprimentos apenas de  normas internas da empresa.  </t>
  </si>
  <si>
    <t>3. Controle institucionalizado e sustentado por ferramentas adequadas, considerado "melhor prática".</t>
  </si>
  <si>
    <t>a. O controle não é executado</t>
  </si>
  <si>
    <t>b. O controle é parcialmente executado</t>
  </si>
  <si>
    <t>c. O controle está implantado e é executado de maneira uniforme por todas as áreas e na frequência adequada.</t>
  </si>
  <si>
    <t xml:space="preserve">Fator de Impacto </t>
  </si>
  <si>
    <t>Desenvolver e implementar medidas para evitar que o risco se concretize /ou medidas para ate-
nuar o impacto e as consequências caso ocorra. São medidas para reduzir a probabilidade de ocorrência e/ou o impacto do risco.</t>
  </si>
  <si>
    <t>Não há necessidade de adotar quaisquer medidas. É conviver com o evento de risco mantendo práticas e procedimentos existentes.</t>
  </si>
  <si>
    <t>Promover ações para eliminá-lo, decidindo descontinuar a atividade, interromper o processo ou atividade.</t>
  </si>
  <si>
    <t xml:space="preserve">Situação do controle </t>
  </si>
  <si>
    <t xml:space="preserve">Execução do Controle </t>
  </si>
  <si>
    <t xml:space="preserve">1. Ausência completa de controle. Controle inexistente, mal desenhado  ou não funcional. Controle presente no conhecimento de determinadas pessoas, de maneira manual. </t>
  </si>
  <si>
    <t>2. Controle razoavelmente institucionalizado, pode mitigar alguns riscos, mas não contemplam todos os aspectos relevantes do risco ou o seu desenho ou as ferramentas que suportam não são adequadas.</t>
  </si>
  <si>
    <t>Controles existentes: funcionamento</t>
  </si>
  <si>
    <t>Controles existentes: existência e relevância</t>
  </si>
  <si>
    <t xml:space="preserve">PLANO DE TRATAMENTO </t>
  </si>
  <si>
    <t>Versão 1</t>
  </si>
  <si>
    <t>RISCO</t>
  </si>
  <si>
    <t>POSICIONAMENTO DA ÁREA</t>
  </si>
  <si>
    <t xml:space="preserve">PRAZO </t>
  </si>
  <si>
    <t xml:space="preserve">AÇAO DE TRATAMENTO </t>
  </si>
  <si>
    <t xml:space="preserve">RESPONSÁVEL </t>
  </si>
  <si>
    <t xml:space="preserve">DATA: </t>
  </si>
  <si>
    <t xml:space="preserve">RESPONSÁVEL: </t>
  </si>
  <si>
    <t>Indica possibilidade de impacto no financeiro, Imagem e/ou Conformidade. Recomenda a definição de ações para resposta ao risco e monitoramento constante.</t>
  </si>
  <si>
    <t>Pouca possibilidade de impactos no financeiro, Imagem e/ou Conformidade.</t>
  </si>
  <si>
    <t xml:space="preserve">CRITÉRIOS PARA PRIORIZAÇÃO E TRATAMENTO DOS RISCOS </t>
  </si>
  <si>
    <t>RISCO SEVERO</t>
  </si>
  <si>
    <t>SEVERO</t>
  </si>
  <si>
    <t>MODERADO</t>
  </si>
  <si>
    <t>LEVE</t>
  </si>
  <si>
    <t>RISCO MODERADO</t>
  </si>
  <si>
    <t>RISCO LEVE</t>
  </si>
  <si>
    <t xml:space="preserve">Nível de risco causa impactos consideráveis na empresa e requer ações de tratamento e atividades de monitoramento específicas, além de atenção da gerência na manutenção de respostas e controles para manter o risco nesse nível, ou reduzí-lo. </t>
  </si>
  <si>
    <t xml:space="preserve">Nível de risco dentro do suportável pela empresa. É preciso avaliar a necessidade de ações de tratamento, a partir da relação custos x benefícios. </t>
  </si>
  <si>
    <t xml:space="preserve">RESPOSTA </t>
  </si>
  <si>
    <t xml:space="preserve">Gestor do Risco : </t>
  </si>
  <si>
    <t xml:space="preserve">Nível </t>
  </si>
  <si>
    <t>Classificação</t>
  </si>
  <si>
    <t xml:space="preserve">                    IMPACTO NAS DIMENSÕES DO EVENTO</t>
  </si>
  <si>
    <t xml:space="preserve">          ESCALA DE PROBABILIDADE</t>
  </si>
  <si>
    <t>Oferta desbalanceada ou inadequada para a demanda</t>
  </si>
  <si>
    <t>Salas subutilizadas, ou excesso de alunos, e baixa satisfação dos alunos</t>
  </si>
  <si>
    <t>Interrupção e atraso na oferta de cursos</t>
  </si>
  <si>
    <t>Baixa adesão ao curso e insustentabilidade financeira</t>
  </si>
  <si>
    <t>Planejamento insuficiente de recursos</t>
  </si>
  <si>
    <t>Inadimplência contratual</t>
  </si>
  <si>
    <t>Ausência de monitoramento de saldos</t>
  </si>
  <si>
    <t>Não conformidade contratual</t>
  </si>
  <si>
    <t>Descumprimento de obrigações das partes envolvidas</t>
  </si>
  <si>
    <t>Divergências contratuais e disputas com alunos</t>
  </si>
  <si>
    <t>Reclamações e desgaste da imagem institucional</t>
  </si>
  <si>
    <t>Atrasos no recebimento de recursos</t>
  </si>
  <si>
    <t>Comprometimento do fluxo de caixa e necessidade de ajustes operacionais</t>
  </si>
  <si>
    <t>Cláusulas contratuais inadequadas ou incompletas</t>
  </si>
  <si>
    <t>Inflexibilidade na forma de pagamento</t>
  </si>
  <si>
    <t>Dificuldade de adesão de alunos devido a opções limitadas</t>
  </si>
  <si>
    <t>Baixa adesão e perda de receita</t>
  </si>
  <si>
    <t>Redução no índice de recuperação de crédito e impacto no caixa</t>
  </si>
  <si>
    <t>Ausência de auditorias periódicas nos processos financeiros</t>
  </si>
  <si>
    <t>Penalidades legais, auditorias adicionais e multas</t>
  </si>
  <si>
    <t>Processos de renegociação sem critérios éticos e claros</t>
  </si>
  <si>
    <t>Favorecimento ou tratamento desigual de alunos</t>
  </si>
  <si>
    <t>Deficiência na documentação e no arquivamento</t>
  </si>
  <si>
    <t>Dificuldades em auditorias, investigações e resposta a questionamentos regulatórios</t>
  </si>
  <si>
    <t>Ausência de critérios claros na seleção de cursos e demandas</t>
  </si>
  <si>
    <t>Quebra de transparência e necessidade de revisão nos critérios de escolha</t>
  </si>
  <si>
    <t>Falta de atualização e adequação curricular</t>
  </si>
  <si>
    <t>Execução excessiva ou insuficiente de contratos</t>
  </si>
  <si>
    <t>Sanções regulatórias, desperdício de recursos e impacto financeiro</t>
  </si>
  <si>
    <t>Descumprimento de obrigações contratuais</t>
  </si>
  <si>
    <t>Ausência de políticas claras para ajustes e renegociações</t>
  </si>
  <si>
    <t>Aditivos desnecessários ou sem justificativa técnica</t>
  </si>
  <si>
    <t>Questionamentos internos e externos e necessidade de revisão de políticas</t>
  </si>
  <si>
    <t xml:space="preserve">Compliance </t>
  </si>
  <si>
    <t>Desconformidade com as normas educacionais</t>
  </si>
  <si>
    <t>Ausência de monitoramento contínuo das normas</t>
  </si>
  <si>
    <t>Baixa competitividade e percepção de valor</t>
  </si>
  <si>
    <t>Sanções regulatórias</t>
  </si>
  <si>
    <t>Ausência de análise da demanda de mercado; Insuficiência de ferramentas para captação de dados de mercado</t>
  </si>
  <si>
    <t xml:space="preserve">Objetivos Estratégicos </t>
  </si>
  <si>
    <t xml:space="preserve">Indicadores </t>
  </si>
  <si>
    <t xml:space="preserve">Consequências </t>
  </si>
  <si>
    <t xml:space="preserve">ID Risco </t>
  </si>
  <si>
    <t xml:space="preserve">Subprocesso </t>
  </si>
  <si>
    <t xml:space="preserve">Categoria </t>
  </si>
  <si>
    <t xml:space="preserve">Operacional </t>
  </si>
  <si>
    <t xml:space="preserve">Financeiro </t>
  </si>
  <si>
    <t xml:space="preserve">EDUCAÇÃO </t>
  </si>
  <si>
    <t xml:space="preserve">Gerir Oferta de Cursos </t>
  </si>
  <si>
    <t>CONTRATAÇÃO</t>
  </si>
  <si>
    <t>Supervisão dos Contratos, Acordos e Parcerias</t>
  </si>
  <si>
    <t>Compliance</t>
  </si>
  <si>
    <t>Falhas/ausência de controle gerencial de vigência</t>
  </si>
  <si>
    <t>Falhas de gestão de aditivos e apostilamentos
Aditivos não solicitados ou aprovados fora do prazo</t>
  </si>
  <si>
    <t>Contratos expirados sem renovação oportuna
Inadimplência contratual</t>
  </si>
  <si>
    <t>Interrupção de serviços e necessidade de novos processos licitatórios emergenciais, Multas contratuais</t>
  </si>
  <si>
    <t>Ineficiência nas ações de cobrança</t>
  </si>
  <si>
    <t>Violação de direitos do consumidor</t>
  </si>
  <si>
    <t xml:space="preserve">Interpretações ambíguas </t>
  </si>
  <si>
    <t>Inexistência de evidências de conformidade</t>
  </si>
  <si>
    <t>Financeiro</t>
  </si>
  <si>
    <t>Processos de cobrança e renegociação inadequados
Ineficiência no recebimento e cobrança das parcelas
Falta de monitoramento das parcelas em atraso</t>
  </si>
  <si>
    <t>Inexistência de controle sobre prazos de pagamento</t>
  </si>
  <si>
    <t>Ausência de transparência nas cláusulas contratuais e condições de pagamento</t>
  </si>
  <si>
    <t>Ausência de alinhamento com as normas contábeis</t>
  </si>
  <si>
    <t>Perdas financeiras e baixa previsibilidade de receitas, Diminuição do fluxo de caixa, aumento de custos administrativos e necessidade de renegociação, dificuldades de cobrança</t>
  </si>
  <si>
    <t>Aumento de solicitações de revisão de contrato, danos reputacionais, reclamações/processos.</t>
  </si>
  <si>
    <t>Reclamações frequentes, possível perda de alunos e danos à imagem institucional, reclamações/processos</t>
  </si>
  <si>
    <t>regulatórios e perda de credibilidade financeira, danos reputacionais, perdas financeiras.</t>
  </si>
  <si>
    <t>litígios, quebra de confiança e necessidade de revisão das políticas</t>
  </si>
  <si>
    <t xml:space="preserve">FINANCEIRO </t>
  </si>
  <si>
    <t>Gerir registros de saldos contábil e financeiro e Demonstrações financeiras</t>
  </si>
  <si>
    <t>Divergências entre saldos reais e contábeis</t>
  </si>
  <si>
    <t>Inconsistências nos dados financeiros</t>
  </si>
  <si>
    <t>Baixa confiabilidade e integridade dos dados</t>
  </si>
  <si>
    <t>Ajustes inadequados ou não autorizados</t>
  </si>
  <si>
    <t>Divergências no fechamento contábil</t>
  </si>
  <si>
    <t>Fraudes e desvios financeiros não detectados</t>
  </si>
  <si>
    <t>Violação de padrões contábeis e regulatórios</t>
  </si>
  <si>
    <t>Descumprimento regulatório</t>
  </si>
  <si>
    <t>Retrabalho, erros contábeis e aumento dos custos operacionais</t>
  </si>
  <si>
    <t>Necessidade de ajustes constantes e impacto na análise financeira</t>
  </si>
  <si>
    <t>Desvios de valores e necessidade de investigação interna</t>
  </si>
  <si>
    <t>Atrasos na finalização do balancete e questionamentos de auditoria</t>
  </si>
  <si>
    <t xml:space="preserve">Exposição a riscos de compliance e necessidade de revisão dos processos; Questionamentos de auditores e órgãos reguladores; possíveis sanções, </t>
  </si>
  <si>
    <t>Impacto na confiabilidade das demonstrações financeiras e possíveis sanções regulatórias, Desconfiança nos relatórios e possíveis auditorias externas obrigatórias</t>
  </si>
  <si>
    <t>Perda de credibilidade perante stakeholders, incompressão dos dados, perda de investimentos.</t>
  </si>
  <si>
    <t>Sanções financeiras e necessidade de reemissão dos relatórios</t>
  </si>
  <si>
    <t>Penalidades e impacto na imagem institucional</t>
  </si>
  <si>
    <t xml:space="preserve">GESTÃO DE PESSOAS </t>
  </si>
  <si>
    <t xml:space="preserve">Contrataçoes inadequadas. </t>
  </si>
  <si>
    <t>Dependência excessiva de contratações temporárias</t>
  </si>
  <si>
    <t>Desalinhamento com expectativas e objetivos do cargo</t>
  </si>
  <si>
    <t>Desconformidade com requisitos legais e trabalhistas</t>
  </si>
  <si>
    <t>Ausência de verificação completa das qualificações e antecedentes</t>
  </si>
  <si>
    <t>Falta de acompanhamento pós-onboarding</t>
  </si>
  <si>
    <t>Falta de integração com o departamento jurídico</t>
  </si>
  <si>
    <t>impacto na qualidade do serviço e a segurança</t>
  </si>
  <si>
    <t>Aumento de custos com contratações e falta de continuidade nas atividades</t>
  </si>
  <si>
    <t>Insatisfação do contratado, aumento da rotatividade e baixo desempenho</t>
  </si>
  <si>
    <t>Riscos legais, incluindo sanções e ações trabalhistas</t>
  </si>
  <si>
    <t>Falta de padronização nas etapas de seleção</t>
  </si>
  <si>
    <t>Pressão para preencher a vaga rapidamente</t>
  </si>
  <si>
    <t>Contratação de candidatos inadequados</t>
  </si>
  <si>
    <t>Risco de alto turnover e insatisfação no cargo</t>
  </si>
  <si>
    <t>Prevenir o Assédio Moral e Sexual</t>
  </si>
  <si>
    <t>Impunidade para comportamentos abusivos
Dificuldade em identificar e relatar incidentes</t>
  </si>
  <si>
    <t xml:space="preserve">Decisões injustas e inadequadas </t>
  </si>
  <si>
    <t xml:space="preserve">Absenteísmo elevado </t>
  </si>
  <si>
    <t>Ausência de políticas e diretrizes claras
Ausência de treinamentos periódicos
Falta de conscientização sobre assédio e respeito mútuo
Ausência de orientações específicas para o relacionamento entre colaboradores e alunos</t>
  </si>
  <si>
    <t>Processos de denúncia inadequados ou inexistentes</t>
  </si>
  <si>
    <t>Deficiência na investigação e resposta a denúncias</t>
  </si>
  <si>
    <t xml:space="preserve">Ambiente de trabalho tóxico e aumento do turnover, Violação das normas de conduta e aumento das denúncias, Reclamações, dano à reputação e perda de confiança da comunidade, processos criminais. </t>
  </si>
  <si>
    <t>Baixo grau de confiança na empresa, descrédito das  políticas internas</t>
  </si>
  <si>
    <t>ações trabalhistas, perda de confiança e danos à reputação</t>
  </si>
  <si>
    <t xml:space="preserve">Baixa produtividade, aumento e impacto na saúde mental dos colaboradores, desconfiança na instituiçao, processos trabalhistas.  </t>
  </si>
  <si>
    <t>TECNOLOGIA</t>
  </si>
  <si>
    <t xml:space="preserve">Gerir segurança da Informação - Gerir procedimentos de restores </t>
  </si>
  <si>
    <t xml:space="preserve">ADMINISTRATIVO </t>
  </si>
  <si>
    <t>Gerir Insumos para a Área Educacional</t>
  </si>
  <si>
    <t>Necessidade de ajustes no portfólio intempestivamente,Baixa taxa de inscrição e recursos desperdiçados e subutilizados, alinhamento inadequado dos cursos com as necessidades atuais do mercado.</t>
  </si>
  <si>
    <t>Processo</t>
  </si>
  <si>
    <t xml:space="preserve">
Inconsistência no conteúdo e na qualidade
</t>
  </si>
  <si>
    <t>Oferta de cursos desalinhada com as expectativas do mercado (Conteúdo inadequado ou desatualizado; Desenvolvimento de cursos com baixa relevância)</t>
  </si>
  <si>
    <t>Desconsideração de especialistas para o desenvolvimento de cursos
Planos de curso desatualizados e/ou inadequados.</t>
  </si>
  <si>
    <t xml:space="preserve">Insatisfação dos alunos e comprometimento da imagem institucional </t>
  </si>
  <si>
    <t>Insuficiência  de professores/instrutores</t>
  </si>
  <si>
    <t xml:space="preserve">Comprometimento da execução do  PCA. </t>
  </si>
  <si>
    <t>Precificação inadequada
Perda de parceiros e/ou  de baixa qualidade</t>
  </si>
  <si>
    <t>Portfólio de cursos e Análise inadequada do espaço disponível.</t>
  </si>
  <si>
    <t>Desorganização logística (Mudança de espaço, Mudança de turmas, Mudança de datas, Falta de instrutores, imsumos e equipamentos)</t>
  </si>
  <si>
    <t>Aumento de desistência e reclamações 
Dificuldades de alinhamento e adaptação dos alunos
Redução na retenção de alunos e na satisfação 
Prejuízo à continuidade dos cursos e impacto na reputação</t>
  </si>
  <si>
    <t>Permanência  de cursos sem justificativa técnica</t>
  </si>
  <si>
    <t>Penalidades regulatórias, perda de autorizações (credenciamento e recredenciamento) e baixa avaliações (MEC) e redução da credibilidade</t>
  </si>
  <si>
    <t xml:space="preserve">Multas, suspensão de cursos e impacto negativo na reputação da instituição, perda de autorizações ( (credenciamento e recredenciamento)e baixa avaliações (MEC) </t>
  </si>
  <si>
    <t>Inexistência de políticas claras de acesso a informações
Falta de treinamento regular sobre segurança da informação</t>
  </si>
  <si>
    <t>Atualizações irregulares de sistemas e software</t>
  </si>
  <si>
    <t>Ausência de processos de auditoria e monitoramento</t>
  </si>
  <si>
    <t>Deficiência no gerenciamento de dispositivos e mídias externas</t>
  </si>
  <si>
    <t>Irregularidade nos testes de restore</t>
  </si>
  <si>
    <t>Procedimentos de restore não documentados;
Falta de revisão de conformidade com normas de backup e restore</t>
  </si>
  <si>
    <t>Ambiente de teste inadequado</t>
  </si>
  <si>
    <t xml:space="preserve">Vazamento de dados e acessos não autorizados
</t>
  </si>
  <si>
    <t>Exposição a vulnerabilidades e ameaças cibernéticas</t>
  </si>
  <si>
    <t>Dificuldade em identificar e responder a incidentes de segurança</t>
  </si>
  <si>
    <t>Perda ou acesso indevido a dados sensíveis</t>
  </si>
  <si>
    <t>Falhas não detectadas nos processos de recuperação</t>
  </si>
  <si>
    <t>Ineficácia na recuperação de dados</t>
  </si>
  <si>
    <t>Testes com resultados questionáveis (pouco confiáveis)</t>
  </si>
  <si>
    <t>Perda de confidencialidade, , danos reputacionais e sanções legais (LGPD)</t>
  </si>
  <si>
    <t xml:space="preserve">Ataques e interrupção dos serviços, comprometimento dos dados. </t>
  </si>
  <si>
    <t>Quebra de conformidade com normas de segurança e multas regulatórias(LGPD)</t>
  </si>
  <si>
    <t>Potencial para violações de privacidade e multas (LGPD)</t>
  </si>
  <si>
    <t>Interrupção prolongada dos serviços e perda de dados em caso de incidentes</t>
  </si>
  <si>
    <t>Tempo de resposta lento, potencial perda de dados e quebra de continuidade de processos e serviços.</t>
  </si>
  <si>
    <t>Falta de confiança na capacidade de recuperação e exposição a falhas reais</t>
  </si>
  <si>
    <t>Inexistência de controle sobre prazos de renovação</t>
  </si>
  <si>
    <t>Ausência de sistema para monitoramento e notificação de prazos</t>
  </si>
  <si>
    <t>Processos manuais para armazenamento e acesso aos documentos</t>
  </si>
  <si>
    <t>Falta de comunicação entre áreas sobre mudanças na legislação</t>
  </si>
  <si>
    <t xml:space="preserve">Infraestrutura não adaptada às exigências legais
Inexistência de monitoramento das norms específicas para o setor educacional </t>
  </si>
  <si>
    <t>Perda de prazos para renovação de licenças</t>
  </si>
  <si>
    <t>Dificuldade de acesso rápido a documentação em fiscalizações</t>
  </si>
  <si>
    <t>Desatualização nos requisitos de licenciamento</t>
  </si>
  <si>
    <t>Inadequação a normas de segurança e acessibilidade</t>
  </si>
  <si>
    <t>Não atendimento a novos requisitos introduzidos durante a renovação</t>
  </si>
  <si>
    <t>Suspensão de atividades e multas regulatórias</t>
  </si>
  <si>
    <t>Interrupção de operações e necessidade de revalidação emergencial</t>
  </si>
  <si>
    <t xml:space="preserve">Multas 
Tempo de resposta elevado a auditorias e fiszalizações </t>
  </si>
  <si>
    <t>Risco de sanções e necessidade de readequação emergencial</t>
  </si>
  <si>
    <t>Custos adicionais para adequação e risco de interrupção das atividades</t>
  </si>
  <si>
    <t>Penalidades adicionais e necessidade de novas readequações</t>
  </si>
  <si>
    <t>Falhas no controle de estoque e armazenamento, Falta de monitoramento dos prazos de validade e utilidade dos insumos</t>
  </si>
  <si>
    <t>Dependência de poucos fornecedores estratégicos</t>
  </si>
  <si>
    <t>Fornecedores não homologados ou sem avaliação de qualidade</t>
  </si>
  <si>
    <t xml:space="preserve">Indisponibilidade de materiais didáticos e recursos essenciais </t>
  </si>
  <si>
    <t>Desperdício de materiais ou falta de itens críticos</t>
  </si>
  <si>
    <t>Atrasos ou falta de insumos por falhas no fornecimento</t>
  </si>
  <si>
    <t>Desconformidade com padrões de qualidade e segurança</t>
  </si>
  <si>
    <t xml:space="preserve">Descarte inadequado de insumos </t>
  </si>
  <si>
    <t>Operacional</t>
  </si>
  <si>
    <t>Aumento de custos com reposição e desperdício de recursos; Utilização de insumos fora de prazo ou obsoletos.</t>
  </si>
  <si>
    <t>Comprometimento do cronograma/programação dos cursos previstos</t>
  </si>
  <si>
    <t>produtos inadequados e sanções regulatórias</t>
  </si>
  <si>
    <t>problemas com orgãos de fiscalização ambiental, sanções legais e impacto na reputação da instituição</t>
  </si>
  <si>
    <r>
      <t xml:space="preserve">Interrupção das atividades educacionais e baixa satisfação dos alunos; Excesso de despesas ou falta de recursos para outras áreas; </t>
    </r>
    <r>
      <rPr>
        <sz val="12"/>
        <color theme="1"/>
        <rFont val="Calibri (Corpo)"/>
      </rPr>
      <t>Insuficiência de orçamento destinado a insumos</t>
    </r>
  </si>
  <si>
    <t>Ausência de políticas, normas e critérios formais de desempenho</t>
  </si>
  <si>
    <t>Ausência de métricas efetivas e informações seguras para tomada de decisão</t>
  </si>
  <si>
    <t>Falta de direcionamento e feedback</t>
  </si>
  <si>
    <t>Desalinhamento entre habilidades e funções</t>
  </si>
  <si>
    <t xml:space="preserve">Inexistência de acompanhamento da evolução e desenvolvimento dos funcionários </t>
  </si>
  <si>
    <t>Desmotivação por falta de crescimento profissional</t>
  </si>
  <si>
    <t xml:space="preserve">Falta de suporte para o aprimoramento de habilidades baseado nas competências necessárias </t>
  </si>
  <si>
    <t>Dificuldade em justificar promoções, aumentos ou demissões</t>
  </si>
  <si>
    <t>Desconhecimento das expectativas da empresa</t>
  </si>
  <si>
    <t>Funcionários em posições inadequadas às suas competências</t>
  </si>
  <si>
    <t xml:space="preserve">Baixa retenção de talentos </t>
  </si>
  <si>
    <t>Baixo reconhecimento e incentivo ao desenvolvimento</t>
  </si>
  <si>
    <t>Perda de competitividade no mercado</t>
  </si>
  <si>
    <t xml:space="preserve">Avaliar resultado e desempenho dos funcionários </t>
  </si>
  <si>
    <t xml:space="preserve">Gerir demissão de funcionários </t>
  </si>
  <si>
    <t>Falta de documentação, normas inadequadas, justificativa inconsistente de demissão; processos de desligamento precipitados</t>
  </si>
  <si>
    <t>Ausência de comunicação clara sobre os motivos da demissão, documentação com fundamentação inadequada, ausência de processos de avaliações de desempenho formalizados, Ausência de políticas de compliance e ética para demissões.</t>
  </si>
  <si>
    <t>Processos de rescisão em desconfomidade com a legislação vigente; Falha na observância dos prazos para homologação e pagamento.</t>
  </si>
  <si>
    <t xml:space="preserve"> Demissão sem justa causa inadequada </t>
  </si>
  <si>
    <t>Alegações de discriminação ou assédio</t>
  </si>
  <si>
    <t>Descumprimento de obrigações legais e trabalhistas</t>
  </si>
  <si>
    <t>Ações trabalhistas, multas e questionamentos legais, Percepção de arbitrariedade e falta de transparência, Clima organizacional prejudicado e desmotivação da equipe</t>
  </si>
  <si>
    <t>Reclamações, danos reputacionais e financeiros, processos judiciais, Percepção negativa da empresa no mercado de trabalho, Questionamentos internos e externos sobre a imparcialidade e o compromisso com a ética</t>
  </si>
  <si>
    <t>Sanções regulatórias e prejuízo financeiro, Multas, correções de valores e ações judiciais</t>
  </si>
  <si>
    <t xml:space="preserve">Insatisfação e desmotivação dos colaboradores, aumento de percepções de favoritismo, processos judiciais </t>
  </si>
  <si>
    <t xml:space="preserve"> informaçoes inadeqaudas para tomada de decisão, perda potencial de talentos, Aumento de ações trabalhistas e questionamentos sobre imparcialidade</t>
  </si>
  <si>
    <t>Baixo envolvimento, e falta de alinhamento com os objetivos da empresa</t>
  </si>
  <si>
    <t>Redução da produtividade e uso ineficiente dos recursos humanos</t>
  </si>
  <si>
    <t>Estagnação no desenvolvimento e baixa retenção de talentos, Falta de reconhecimento de progressos e dificuldades</t>
  </si>
  <si>
    <t>Baixo engajamento, aumento do absenteísmo e perda de talentos qualificados</t>
  </si>
  <si>
    <t>Impacto negativo na qualidade dos produtos e serviços oferecidos pela empresa, desempenho inconsistente e variado dos funcionários, Dificuldades em desenvolver as competências necessárias para o crescimento organizacional</t>
  </si>
  <si>
    <t>Gerir processo de recebimento dos cursos (modelos de contrato e formato de pagamento)</t>
  </si>
  <si>
    <t xml:space="preserve">Opção insuficiente de formatos de recebimento
</t>
  </si>
  <si>
    <t xml:space="preserve">
Desvios e fraudes não identificadas</t>
  </si>
  <si>
    <t xml:space="preserve">Descumprimento de padrões regulatórios e normas contábeis </t>
  </si>
  <si>
    <t>Falta de atualização frequente dos registros
Erros de lançamento ou classificação contábil
Ausência de revisão e validação de dados</t>
  </si>
  <si>
    <t>Ausência de integração entre sistemas financeiros e contábeis</t>
  </si>
  <si>
    <t>Processos manuais para registro de transações/Erros de registro</t>
  </si>
  <si>
    <t>Ausência de procedimentos de controle para ajustes contábeis</t>
  </si>
  <si>
    <t>Falhas no processo de conciliação entre contas</t>
  </si>
  <si>
    <t>Deficiências no sistema de controle interno</t>
  </si>
  <si>
    <t>Inexistência de auditorias periódicas nos registros</t>
  </si>
  <si>
    <t>Informações inadequadas ou insuficientes nas notas explicativas</t>
  </si>
  <si>
    <t>Falta de conformidade com normas contábeis aplicáveis</t>
  </si>
  <si>
    <t>Atraso na entrega das demonstrações</t>
  </si>
  <si>
    <t>Análises e demonstrações incorretas, necessidade de demonstração manuais</t>
  </si>
  <si>
    <t>Fraudes e manipulação de resultados e/ou erros</t>
  </si>
  <si>
    <t>Transparência insuficiente nas demonstrações</t>
  </si>
  <si>
    <t>Contratação de pessoal por prazo determinado em caráter emergencial (instrutores)</t>
  </si>
  <si>
    <t>Ausência de planejamento  ou insatisfatório.</t>
  </si>
  <si>
    <t xml:space="preserve">Redução da qualidade no processo de seleção </t>
  </si>
  <si>
    <t xml:space="preserve">
Acesso desigual às oportunidades</t>
  </si>
  <si>
    <t>indicações políticas</t>
  </si>
  <si>
    <t xml:space="preserve">Menor diversidade e limitação de escolha, violação dos princípios de transparência, Reclamações e questionamentos de órgãos reguladores. </t>
  </si>
  <si>
    <t xml:space="preserve">
Práticas de seleção subjetivas e preconceituosas</t>
  </si>
  <si>
    <t>Falta de treinamento para os avaliadores, Falta de padronização nas etapas de seleção</t>
  </si>
  <si>
    <t xml:space="preserve">Problemas de diversidade e inclusão; decisões questionáveis, contratações de candidatos inadequados, Quebra de conformidade com políticas de diversidade e inclusão. </t>
  </si>
  <si>
    <t>Comportamentos abusivos frequentes 
Assédio moral e sexual envolvendo alunos e colaborador</t>
  </si>
  <si>
    <t>Falta de apoio psicológico e assistência para as vítimas (colaboradores)</t>
  </si>
  <si>
    <t>Promoções e recompensas baseadas em subjetividade ou inexistência</t>
  </si>
  <si>
    <t>Licenças e Alvarás em Instituições de Ensino e Unidades Administrativas</t>
  </si>
  <si>
    <t xml:space="preserve">Licenças e alvarás expirados </t>
  </si>
  <si>
    <t>Inexistência de planejamento para aquisição de insumos, Ausência de normas e políticas para compra, substituição e renovação de insumos críticos</t>
  </si>
  <si>
    <t>Reivindicações ou litígios entre as partes, Impacto na qualidade dos serviços
Necessidade de revisão contratual e possível litígio</t>
  </si>
  <si>
    <t>Insuficiência no acompanhamento de parcerias ; Inexistência de  registro formal de aditivos e apostilamentos</t>
  </si>
  <si>
    <t>Falta de integração entre sistemas de contratos e contabilidade; Atraso na atualização dos saldos a receber; Falhas nos procedimentos de conciliação</t>
  </si>
  <si>
    <t xml:space="preserve">Inconsistências nos registros financeiros 
</t>
  </si>
  <si>
    <t>Necessidade de ajustes manuais, retrabalho e erros contábeis; Desajuste no fluxo de caixa e dificuldades para planejar receitas;Ineficiência operacional e aumento de custos administrativos, Discrepâncias recorrentes nas rotinas de recebimento; Divergência entre valores registrados e recebidos.</t>
  </si>
  <si>
    <t xml:space="preserve">ÁREA:                                             PROCESSO: </t>
  </si>
  <si>
    <t xml:space="preserve">Cobertura de caráter Nacional, gerando perda de clientes e abalo na confiança da empresa. </t>
  </si>
  <si>
    <t>Incorformidades legais e de normas internas que geram  valores de multas e/ou indenizações, apontamentos de auditoria e fiscalização dos órgãos de controle externo (TCU,CGU,MP)</t>
  </si>
  <si>
    <t>Incorformidades legais e de normas internas que geram alto valor em multas e/ou indenizações e apontamentos de auditoria e fiscalização dos órgãos de controle externo (TCU,CGU,MP)</t>
  </si>
  <si>
    <t>Impacta de modo leve as disponibilidades de recursos financeiros para os negócios e demais despesas.</t>
  </si>
  <si>
    <t xml:space="preserve">
Inconsistência no conteúdo e na qualidade
</t>
  </si>
  <si>
    <t>Falhas no acompanhamento contínuo para garantir conformidade pós-renovação</t>
  </si>
  <si>
    <t>Desconformidade com normas ambientais no descarte de insumos</t>
  </si>
  <si>
    <t>Padronização inadequada nos modelos de contrato</t>
  </si>
  <si>
    <t>Criticidade do Risco</t>
  </si>
  <si>
    <t>Nível de risco além suportado pela empresa. Qualquer risco nesse nível dever ser comunicado à alta gestão e ter ações de tratamento de riscos, com as áreas responsáveis,  tomadas em período determinado. Qualquer alteração das medidas a serem adotadas exige autorização do dirigente de área.</t>
  </si>
  <si>
    <t xml:space="preserve">Ambiente de trabalho tóxico e aumento do turnover, Violação das normas de conduta e aumento das denúncias, Reclamações, dano à reputação e perda de confiança da comunidade, processos criminais, evasão de alunos. </t>
  </si>
  <si>
    <t>Política de Assédio disponibilizada na intranet;
Palestra Da SIPAT;
Cartilha ouvidoria;
E-mail marketing da SIPAT;
Palestras sobre bullying, assédio moral e sexual para alunos</t>
  </si>
  <si>
    <t>Incluir o tema assédio na abertura de todos os cursos para alunos;</t>
  </si>
  <si>
    <t>Incluir o tema assédio no Programa de boas vindas dos colaboradores;</t>
  </si>
  <si>
    <t>NUTRED</t>
  </si>
  <si>
    <t>DEP/CEPs</t>
  </si>
  <si>
    <t>Comissão de Ética/CM</t>
  </si>
  <si>
    <t>Planejar treinamentos sobre o tema assédio para colaboradores e alunos;</t>
  </si>
  <si>
    <t>Criar e divulgar vídeos educativos circulando em diversos espaços: Sede, CEP, Polos - Parcerias, Faculdade;</t>
  </si>
  <si>
    <t>Canal de denúncias independente
Comissão de Ética
Regimento Interno da Comissão de Ética
Pesquisas realizadas nos cursos(Ouvidoria)
Política de Não Retaliação</t>
  </si>
  <si>
    <t>Incluir no Regimento Interno e Regimento Escolar um artigo sobre intolerância assédio para ser amplamento divulgado aos colaboradores e alunos.</t>
  </si>
  <si>
    <t>Comissão de Ética/DEP/CEPs</t>
  </si>
  <si>
    <t>Planejar treinamentos sobre o código de ética (conduta) para colaboradores e alunos;</t>
  </si>
  <si>
    <t xml:space="preserve">Absenteísmo elevado  </t>
  </si>
  <si>
    <t>Check list do Processo Seletivo (antes da admissão);
Clausulas do acordo coletivo sobre o colaborador ter que entregar a certidão ECA;</t>
  </si>
  <si>
    <t>NUPRE</t>
  </si>
  <si>
    <t>Orientar e inserir no processo SEI o termo de ciência de conhecimento de algumas normativos do SENAC na admissão</t>
  </si>
  <si>
    <t xml:space="preserve"> Demissão sem justa causa inadequada</t>
  </si>
  <si>
    <t>Contratar empresa especializada em avaliação de desempenho e critérios de promoção;</t>
  </si>
  <si>
    <t>DHO</t>
  </si>
  <si>
    <t>Treinar lideres em pontos específicos relacionados ao feedback de suas equipes;</t>
  </si>
  <si>
    <t>Check list da demissão - Contém todos os itens da recisão;
Check list do cálculo recisório;</t>
  </si>
  <si>
    <t>Aprovar ordem de serviço que estabelece prazos, responsáveis e o fluxo processual do desligamento.</t>
  </si>
  <si>
    <t>DHO/DIREG</t>
  </si>
  <si>
    <t>PCA - Plano de curso anual;
Planejamento com base no PCA;
Lista básica dos cursos enviada pela DEP</t>
  </si>
  <si>
    <t xml:space="preserve">Revisar a lista básica semestralmente </t>
  </si>
  <si>
    <t>DEP/CEPs/NUPAM</t>
  </si>
  <si>
    <t>Aprimorar forma de confecção do TR em conjunto (instrutor/RT)</t>
  </si>
  <si>
    <t>Elaborar uma lista de itens comuns a várias áreas</t>
  </si>
  <si>
    <t>Na área de gastronomia tem uma auxiliar de cozinha que faz o porcionamento dos insumos a serem utilizados semanalmente. No MXM tem relatório onde consta a validade dos produtos.</t>
  </si>
  <si>
    <t>Elaborar pedidos com equilibrio entre a demanda e o consumo pelo demandante ou RT</t>
  </si>
  <si>
    <t>Revisar no estoque semanalmente em grupos específicos de cotação de forma que ao final do mês tenha o balanço de todo o estoque dos itens em geral</t>
  </si>
  <si>
    <t>DEP/Coordenação CEPs/Casa Chá/NUPAM</t>
  </si>
  <si>
    <t>NUPAM</t>
  </si>
  <si>
    <t>Criar um estoque central - A exemplo do DN DF e RJ</t>
  </si>
  <si>
    <t>DAF/DIREG</t>
  </si>
  <si>
    <t>Alterar o fluxo atual de forma a atribuir a área de compras o acompanhamento da execução do pedido até a sua entrega</t>
  </si>
  <si>
    <t>Resolução Senac 1.270/2024 - Pré-Qualificação - Licitação</t>
  </si>
  <si>
    <t>Estender a prática da Pré Qualificação para todos os seguimentos</t>
  </si>
  <si>
    <t>Contrato com a empresa de coleta.
Obs: Este contrato precisa ser ampliado para recolhimento nas outras unidades onde existe área de saúde.</t>
  </si>
  <si>
    <t>Aditivar contrato para coleta de materias da área da saúde em outras unidades</t>
  </si>
  <si>
    <t xml:space="preserve">Convidar colaborador da área NUSAS para participar da elaboração do TR para contratações de terceirizados </t>
  </si>
  <si>
    <t>NUSAS/DHO/DAF/DIREG</t>
  </si>
  <si>
    <r>
      <t xml:space="preserve">Interrupção das atividades educacionais e baixa satisfação dos alunos; Excesso de despesas ou falta de recursos para outras áreas; </t>
    </r>
    <r>
      <rPr>
        <sz val="12"/>
        <color theme="1"/>
        <rFont val="Calibri"/>
        <family val="2"/>
        <scheme val="minor"/>
      </rPr>
      <t>Insuficiência de orçamento destinado a insumos</t>
    </r>
  </si>
  <si>
    <t>1. Controle gerencial via Sistema de Gestão de Contratos, Acordos e Parcerias - GECAP (Nuvem);
2. Análise semanal de todos os contratos, acordos e parcerias que vencerão nos próximos 90 (noventa) dias;
3. Reabertura dos processos e inclusão despacho para os gestores e fiscais;
4. Submissão semanal da relação de instrumentos a vencer à DAF.</t>
  </si>
  <si>
    <t>CLC</t>
  </si>
  <si>
    <t>Convidar os gestores e fiscais para tratativas sobre renovações de instrumentos complexos e/ou com curto prazo</t>
  </si>
  <si>
    <t>Orientar mensalmente os gestores e fiscais via e-mail institucional</t>
  </si>
  <si>
    <t>Buscar orientação imediata da CLC quando suscitarem dúvidas relacionadas à renovação</t>
  </si>
  <si>
    <t>GESTOR E FISCAL</t>
  </si>
  <si>
    <t>1. Conforme Portaria "N" nº 226/2024, os gestores e fiscais devem acompanhar a execução contratual e controlar os saldos via sistema MXM ERP;
2. Acompanhamento quinzenal dos saldos contratuais contratos mais relevantes pela CLC com encaminhamento à DAF.</t>
  </si>
  <si>
    <t>1. Tratativas com a MXM para criação de relatórios dinâmicos que facilitem a análise dos saldos por lote</t>
  </si>
  <si>
    <t>CLC/TI</t>
  </si>
  <si>
    <t>2. Gestores e fiscais solicitarem à CLC apoio para análise de saldo sempre que ocorrerem dúvidas</t>
  </si>
  <si>
    <t xml:space="preserve">1. Análise e adequação às normas que regem as contratações do Senac-DF pela CLC e JUR na solicitação de aditivos de qualquer natureza;
2. Acompanhamento do histórico de aditivos via processo eletrônico
</t>
  </si>
  <si>
    <t xml:space="preserve">1. Instauração de processos de apuração de responsabilidade, assegurando o contraditório e ampla defesa;
2. Cobrança de multas e compensações pecuniárias eventualmente aplicadas;
3. Controle e prestação de contas, nas parcerias, dos bens emprestados, repasse de valores e execução conforme pactuados
</t>
  </si>
  <si>
    <t>1. Planejar a contratação considerando todo o seu ciclo de vida útil (do planejamento à gestão e fiscalização);
2. Orientar os responsáveis pela gestão e fiscalização quanto às normas e limites para realização de acréscimos e supressões contratuais</t>
  </si>
  <si>
    <t>Conciliação com o relatório das áreas;
As demonstrações contábeis e orçamentárias são são extraídas do ERP MXM.
O relatório do contador e a apresentação para o CR é elaborado em planilha do excel.
Análise do balancete pela CTL;</t>
  </si>
  <si>
    <t>Solicitar ao sistema MXM melhorias referente a amortização, apropriação do seguro, assinatura de jornais e revista.</t>
  </si>
  <si>
    <t>Utilização do sistema MXM e em caso de erros ou inconsistências é aberto chamado junto ao sistema com pedido de urgência.</t>
  </si>
  <si>
    <t>Conciliação pelo Contábil e pelo Financeiro</t>
  </si>
  <si>
    <t>Conciliar diariamente;</t>
  </si>
  <si>
    <t>Distribuir contas contábeis para equipe fazer a conciliação;</t>
  </si>
  <si>
    <t>Quando identificados valores de multas e juros, abrir processo SEI para investigação interna. Deixa classificado os valores na despesa até finalizar o processo.</t>
  </si>
  <si>
    <t>NUCONTAB</t>
  </si>
  <si>
    <t>Apuração de responsabilidade</t>
  </si>
  <si>
    <t>Comissão/DIREG</t>
  </si>
  <si>
    <t>Conciliando as contas atravésdos relatórios;
Questionamentos da auditoria são referentes a dúvidas e erros;</t>
  </si>
  <si>
    <t>Política de Segurança da Informação;
Plano de Busca;
Plano de contingência;
Plano de backup;
Admin center da microsoft;</t>
  </si>
  <si>
    <t>Vazamento de dados e acessos não autorizados</t>
  </si>
  <si>
    <t>Atualizar frequentemente o software;</t>
  </si>
  <si>
    <t>TI</t>
  </si>
  <si>
    <t>Atualizar senhas de todos os colaboradores a cada 30 dias;</t>
  </si>
  <si>
    <t>Duplo fator de autenticação para todos os administradores da TI;</t>
  </si>
  <si>
    <t>Microsegmentação de rede - Guardicore;</t>
  </si>
  <si>
    <t>Aplicação do princípio do menor privilégio;</t>
  </si>
  <si>
    <t>Atualização dos ativos de TI de segurança;</t>
  </si>
  <si>
    <t>Monitoramento e revisão periodica dos acessos(a cada 4 meses);</t>
  </si>
  <si>
    <t>Configuração dos firewalls para bloquear acessos fora do Brasil e não autorizados;</t>
  </si>
  <si>
    <t>Utilização de VPNs e Azure Virtual Desktop para conekões remotas seguras;</t>
  </si>
  <si>
    <t>Implementação deferramentas de DLP para monitorar, detectar e bloquear transferências não autorizadas de dados(CPF e Cartão de Crédito);</t>
  </si>
  <si>
    <t xml:space="preserve">Ansible para automação de tarefas de atualização de patches de segurança;
</t>
  </si>
  <si>
    <t>Determinar horários e datas regulares para atualizações;</t>
  </si>
  <si>
    <t>Priorizar a classificação dos sistemas ou atualizações mais críticos e menos críticos;</t>
  </si>
  <si>
    <t>Plano de susbtituição, para identificar sistemas obsoletos que não recebem mais suporte do fabricante;</t>
  </si>
  <si>
    <t>Treinamento para TI e para todos os colaboradores;</t>
  </si>
  <si>
    <t>Manutenção de contratos e licenças;</t>
  </si>
  <si>
    <t>Realizar auditorias periódicas para garantir que as atualizações estão sendo executadas;</t>
  </si>
  <si>
    <t>Teste de backup e restore periódicos (mensalmente);
Acompanhamento e evidenciação diária do funcionamento da ferramenta de backup;
Implantação de ferramenta de SIEM(coletar, armazenar e analisar logs de atividade);</t>
  </si>
  <si>
    <t>Monitoramento de atividade de usuários com registro e análise de atividades suspeitas;</t>
  </si>
  <si>
    <t>Alertas automáticos para eventos críticos como tentativas de acesso;</t>
  </si>
  <si>
    <t>Teste regulares de simulação para treinar a equipe e avaliar a  eficácia dos processos de segurança da informação;</t>
  </si>
  <si>
    <t>Solução de observabilidade completa da infraestrutura - ZABBIX/GRAFANA</t>
  </si>
  <si>
    <t>Armazenamento de logs para facilitar a análise e resposta</t>
  </si>
  <si>
    <t xml:space="preserve">Política de Segurança da Informação;
Limitação do uso de dispositivos externos não autorizados - PSI;
Bloqueio de portas USB em todo parque educacional;
</t>
  </si>
  <si>
    <t>Implantação do SIEM para monitorar atividades e identificar padrões de acessos suspeitos;</t>
  </si>
  <si>
    <t>Análise de comportamento para identificar atividades anomalas (UEBA);</t>
  </si>
  <si>
    <t>Implantação de segmentação da rede por VLANS</t>
  </si>
  <si>
    <t>Aquisição de novas ferramentas de backup e restore;</t>
  </si>
  <si>
    <t>Auditoria dos backups existentes;</t>
  </si>
  <si>
    <t>Procedimentos de teste de restore;</t>
  </si>
  <si>
    <t>Verificação da integridade do backup</t>
  </si>
  <si>
    <t>Documentar os procedimento de restore;</t>
  </si>
  <si>
    <t>Formalizar os procedimentos com prazos detalhados</t>
  </si>
  <si>
    <t>Segmentação de ambientes, exemplo: teste, homologação e produção.
Utilização de insfraestrutura virtualizada;
Ferramentas de gestão de ambientes;
Investimento em infraestrutura de nuvem.</t>
  </si>
  <si>
    <t>Plano de teste documentado</t>
  </si>
  <si>
    <t xml:space="preserve">Revisar os cenários de testes para identificar falhas, redundâncias ou inrelevâncias </t>
  </si>
  <si>
    <t xml:space="preserve">Acompanhamento através de processo SEI;
</t>
  </si>
  <si>
    <t>Antecipar visita antes do vencimento junto aos órgãos responsáveis</t>
  </si>
  <si>
    <t>CEA/CFC/DAF</t>
  </si>
  <si>
    <t>Notificar os proprietários das unidades alugadas para regularização junto aos órgãos;</t>
  </si>
  <si>
    <t>CAD/CEA/DAF</t>
  </si>
  <si>
    <t>Não havendo efeito do item acima, o Senac realizará as ações necessárias para as unidades alugadas;</t>
  </si>
  <si>
    <t>CEA/DAF</t>
  </si>
  <si>
    <t>Notificação da unidade e após um prazo que pode ocorrer a interrupção de operações e necessidade de revalidação emergencial</t>
  </si>
  <si>
    <t>Fazer uma agenda no calendário com lembretes com data dos vencimentos das licenças;</t>
  </si>
  <si>
    <t>CEA</t>
  </si>
  <si>
    <t xml:space="preserve">Multas 
Tempo de resposta elevado a auditorias e fiscalizações </t>
  </si>
  <si>
    <t>Informar para todas as unidades os processos SEI que constam as documentações;</t>
  </si>
  <si>
    <t>Enviar documento de funcionamento para o administrativo de cada unidade deixar de fácil acesso ou visível;</t>
  </si>
  <si>
    <t xml:space="preserve">Infraestrutura não adaptada às exigências legais
Inexistência de monitoramento das normas específicas para o setor educacional </t>
  </si>
  <si>
    <t>Não teve demanda para esse tipo de situação.
Utiliza o projeto de bombeiro para efetuar adequações ou novas construções.</t>
  </si>
  <si>
    <t>Fazer estudo de viabilidade para análise da unidades que precisam de adequação;</t>
  </si>
  <si>
    <t>CEA/DEP/GT Inclusão</t>
  </si>
  <si>
    <t>Foi criado um processo SEI para cada unidade e fisicamente também.</t>
  </si>
  <si>
    <t xml:space="preserve">Acompanhamentono no processo SEI antes do período da renovação;
</t>
  </si>
  <si>
    <t>Antecipação do pedido de renovação antes do vencimento;</t>
  </si>
  <si>
    <t>Acompanhar alterações de projetos para informar antes da renovação da licença;</t>
  </si>
  <si>
    <t>Pesquisa na região norte (Planaltina) - Processo SEI;
Pesquisa para o Centro Oeste - Processo SEI;
Demandas recebidas pelas sindicatos;
Sistema de inscrição SIM - Com base nesse sistema tem uma visão clara do que tem procura e o que não tem procura;</t>
  </si>
  <si>
    <t>Reposicionar a ofertar a partir de alteração do processo anterior, em que ofertava-se tomando por base a "disponibilidade" e formação dos instrutores para um processo com apoio do SIM/SIGIN seguido de centralização da gestão dos instrutores e ofertas de cursos na DEP;</t>
  </si>
  <si>
    <t>NUGIN/CSE/DEP</t>
  </si>
  <si>
    <r>
      <t xml:space="preserve">Revisão anual dos planos de cursos da oferta </t>
    </r>
    <r>
      <rPr>
        <sz val="12"/>
        <color rgb="FFFF0000"/>
        <rFont val="Calibri"/>
        <family val="2"/>
        <scheme val="minor"/>
      </rPr>
      <t>(quantos?)</t>
    </r>
    <r>
      <rPr>
        <sz val="12"/>
        <rFont val="Calibri"/>
        <family val="2"/>
        <scheme val="minor"/>
      </rPr>
      <t xml:space="preserve"> do PCA (CEPD);
Orientações repassadas aos instrutores por ocasião das semanas pedagógicas discutindo aspectos relacionados as listas e qualidades dos insumos, bem como, os reflexos destes nas praxis;
Pesquisa de Qualidade Percebida na Conclusão do Curso;
Visitas Técnicas dos analista nas unidades (</t>
    </r>
    <r>
      <rPr>
        <sz val="12"/>
        <color rgb="FFFF0000"/>
        <rFont val="Calibri"/>
        <family val="2"/>
        <scheme val="minor"/>
      </rPr>
      <t>documentado?</t>
    </r>
    <r>
      <rPr>
        <sz val="12"/>
        <rFont val="Calibri"/>
        <family val="2"/>
        <scheme val="minor"/>
      </rPr>
      <t>)</t>
    </r>
  </si>
  <si>
    <t xml:space="preserve">
Inconsistência no conteúdo e na qualidade</t>
  </si>
  <si>
    <t>Orientações repassadas aos instrutores por ocasião das semanas pedagógicas discutindo aspectos relacionados as listas e qualidades dos insumos, bem como, os reflexos destes nas praxis;</t>
  </si>
  <si>
    <t>Pesquisa de Qualidade Percebida na Conclusão do Curso (Ouvidoria);</t>
  </si>
  <si>
    <r>
      <t xml:space="preserve">Revisão anual dos planos de cursos da oferta </t>
    </r>
    <r>
      <rPr>
        <sz val="12"/>
        <color rgb="FFFF0000"/>
        <rFont val="Calibri"/>
        <family val="2"/>
        <scheme val="minor"/>
      </rPr>
      <t>(quantos?</t>
    </r>
    <r>
      <rPr>
        <sz val="12"/>
        <color theme="1"/>
        <rFont val="Calibri"/>
        <family val="2"/>
        <scheme val="minor"/>
      </rPr>
      <t>) do PCA (CEPD);</t>
    </r>
  </si>
  <si>
    <r>
      <t>Visitas Técnicas dos analista nas unidades (</t>
    </r>
    <r>
      <rPr>
        <sz val="12"/>
        <color rgb="FFFF0000"/>
        <rFont val="Calibri"/>
        <family val="2"/>
        <scheme val="minor"/>
      </rPr>
      <t>documentado?</t>
    </r>
    <r>
      <rPr>
        <sz val="12"/>
        <color theme="1"/>
        <rFont val="Calibri"/>
        <family val="2"/>
        <scheme val="minor"/>
      </rPr>
      <t>)</t>
    </r>
  </si>
  <si>
    <t>OUV</t>
  </si>
  <si>
    <t>DEP</t>
  </si>
  <si>
    <t>CEPD/DEP</t>
  </si>
  <si>
    <t xml:space="preserve">Elaboração do PCA em setembro/24 para oferta futura em uma janela de 5 até 11 meses(referência janeiro a junho/2025). Análise em abril/25 para lançamento da oferta do 2º semestre em maio/25 (retificativo);
A ação descrita acima permite uma avaliação antecipada da oferta e disponibilidade de docentes, instrutores e insumos. Em caso de insuficiência de instrutores a área de RH é demandada em tempo hábil para seleção de instrutores.
</t>
  </si>
  <si>
    <t>Elaboração do PCA em setembro/24 para oferta futura em uma janela de 5 até 11 meses(referência janeiro a junho/2025). Análise em abril/25 para lançamento da oferta do 2º semestre em maio/25 (retificativo);
A ação descrita acima permite uma avaliação antecipada da oferta e disponibilidade de docentes, instrutores e insumos. Em caso de insuficiência de instrutores a área de RH é demandada em tempo hábil para seleção de instrutores.</t>
  </si>
  <si>
    <t>Evolução no SIGIN integrando o módulo de planejamento de curso com o módulo de gestão de instrutores;</t>
  </si>
  <si>
    <t>TI/NUGIN/CSE/DEP</t>
  </si>
  <si>
    <t>Revisão anual das listas básicas ;
Pesquisa de mercado com o concorrente;</t>
  </si>
  <si>
    <t>Pesquisa de mercado com o concorrente;</t>
  </si>
  <si>
    <t>Revisão anual das listas básicas ;</t>
  </si>
  <si>
    <t>NC</t>
  </si>
  <si>
    <t>1. Análise semanal e sistêmica dos contratos a vencer em 90 (noventa) dias;</t>
  </si>
  <si>
    <t>2. Encaminhamento à DAF via e-mail semanalmente do relatório de dados</t>
  </si>
  <si>
    <t>DAF</t>
  </si>
  <si>
    <t>3. Convocação dos gestores e fiscais que não instruirem os processos no prazo determinado pela CLC.</t>
  </si>
  <si>
    <t>1. Normatização dos procedimentos para celebração, gestão e fiscalização de contratos, acordos e parcerias</t>
  </si>
  <si>
    <t>Senac</t>
  </si>
  <si>
    <t>2. Exigência de relatórios de fiscalização no processo eletrônico via Ordem de Serviço nº 06/2024 e pela CLC</t>
  </si>
  <si>
    <t>3. Exigência de que todas as contratações sejam realizadas exclusivamente via sistema eletrônico de informações</t>
  </si>
  <si>
    <t>1. Criação do balcão de serviços da CLC, com atendimento presencial e à distância, para esclarecimentos de dúvidas, inclusive sobre as exigências e limites para realização de aditivos</t>
  </si>
  <si>
    <t>2. Regulamentação via Ordem de Serviço nº 06/2024 do fluxo para celebração de aditivo, que exige análise da CLC, CAD, DAF e JUR.</t>
  </si>
  <si>
    <t>Utilização do sistema MXM e em caso de erros ou inconsistências é aberto chamado junto ao sistema com pedido de urgência.
Revisão de perfil do ERP MXM;</t>
  </si>
  <si>
    <t>Revisar perfis do ERP MXM;</t>
  </si>
  <si>
    <t>Enviar e-mails marketing para concientização sobre a utilização do MXM;</t>
  </si>
  <si>
    <t>TI/DIREG</t>
  </si>
  <si>
    <t>CM/NUCONTAB/CFC</t>
  </si>
  <si>
    <t>Verificação mensal do Conselho Fiscal nas Demonstrações Financeiras;</t>
  </si>
  <si>
    <t>Verificação mensal do Conselho Fiscal nas Demonstrações Financeiras;
Auditoria do Conselho Fiscal anualmente;</t>
  </si>
  <si>
    <t>Auditoria independente nas Demonstrações Financeiras;</t>
  </si>
  <si>
    <t>CFC</t>
  </si>
  <si>
    <t>Processo SEI do balancete e da prestação de contas com todas as etapas natodigitais;</t>
  </si>
  <si>
    <t>Assinatura dos diretores e contadores com certificado digital (ICP Brasil);</t>
  </si>
  <si>
    <t>Validação pelo Departamento Nacional mensalmente, para compor o balancete Nacional pelo sistema ERP MXM;</t>
  </si>
  <si>
    <t>Validação pelo Departamento Nacional mensalmente, para compor o balancete Nacional pelo sistema ERP MXM;
Verificação mensal do Conselho Fiscal nas Demonstrações Financeiras;
Auditoria do Conselho Fiscal anualmente;</t>
  </si>
  <si>
    <t>Auditoria do Conselho Fiscal anualmente;</t>
  </si>
  <si>
    <t xml:space="preserve">Check list mensal, elaborado pela NUCONTAB;
Envio de e-mails para áreas informando o check list;
Cobrança para entrega dos relatórios;
</t>
  </si>
  <si>
    <t>Check list mensal, elaborado pela NUCONTAB;</t>
  </si>
  <si>
    <t>Envio de e-mails para áreas informando o check list;</t>
  </si>
  <si>
    <t>Cobrança para entrega dos relatórios;</t>
  </si>
  <si>
    <t>CFC/DAF/DIREG/PCR</t>
  </si>
  <si>
    <t>Conselho Fiscal</t>
  </si>
  <si>
    <t>Revisão anual dos planos de cursos da oferta (quantos?) do PCA (CEPD);
Orientações repassadas aos instrutores por ocasião das semanas pedagógicas discutindo aspectos relacionados as listas e qualidades dos insumos, bem como, os reflexos destes nas praxis;
Pesquisa de Qualidade Percebida na Conclusão do Curso (Ouvidoria);
Visitas Técnicas dos analista nas unidades (documentado?)</t>
  </si>
  <si>
    <t>Indicações políticas</t>
  </si>
  <si>
    <t>Contrato registrado em cartório - Avaliado pelo jurídico;</t>
  </si>
  <si>
    <t>Contrato que está no SIG só permite inclusão de dados de identificação do aluno, do serviço contratado e assinatura;</t>
  </si>
  <si>
    <t>Antes do dia 17/11/2024 - Acompanhamento manual por meio de inspeção visual de todos os contratos. A partir de 18/11/24 a funcionalidade de assinatura está disponível no sistema SIG.</t>
  </si>
  <si>
    <t xml:space="preserve">Sistema SIG - Relatório de aceite de contrato 0028. </t>
  </si>
  <si>
    <t>O sistema SIG administrado pelas funções e melhorias pelo DN.</t>
  </si>
  <si>
    <t>Está em fase de elaboração pela TI uma carta de melhoria para o sistema SIG ao DN.</t>
  </si>
  <si>
    <t>Normativa - Manual de contas a receber.</t>
  </si>
  <si>
    <t>Processo SEI do contrato na Fac. Senac</t>
  </si>
  <si>
    <t>Divergências contratuais e disputas com alunos (Contratos Comerciais)</t>
  </si>
  <si>
    <t>Check list do Processo Seletivo (antes da admissão);</t>
  </si>
  <si>
    <t>Clausulas do acordo coletivo sobre o colaborador ter que entregar a certidão ECA;</t>
  </si>
  <si>
    <t>Aumento de custos com contratações e falta de continuidade nas atividades e na qualidade do trabalho.</t>
  </si>
  <si>
    <t>Desorganização logística (Mudança de espaço, Mudança de turmas, Mudança de datas, Falta de instrutores, insumos e equipamentos)</t>
  </si>
  <si>
    <t xml:space="preserve">Acompanhamento da oferta  - Bolsas/PSG(CSE) - Reuniões Semanais - Sistema SIM
Acompanhamento do comercial (NC)
PCA (Compartilhado com todas as áreas - CEPs/DAF e DIREG);
Contrato Temporário
</t>
  </si>
  <si>
    <t>Acompanhamento da oferta  - Bolsas/PSG(CSE) - Reuniões Semanais - Sistema SIM</t>
  </si>
  <si>
    <t>Acompanhamento do comercial (NC)</t>
  </si>
  <si>
    <t>PCA (Compartilhado com todas as áreas - CEPs/DAF e DIREG);</t>
  </si>
  <si>
    <t>DHO/DEP</t>
  </si>
  <si>
    <t>CSE/DEP</t>
  </si>
  <si>
    <t>CSE/DEP/NC/DIREG</t>
  </si>
  <si>
    <t>CSE/CEPs/DAF e DIREG</t>
  </si>
  <si>
    <r>
      <t xml:space="preserve">Contrato Temporário </t>
    </r>
    <r>
      <rPr>
        <sz val="12"/>
        <color rgb="FFFF0000"/>
        <rFont val="Calibri"/>
        <family val="2"/>
        <scheme val="minor"/>
      </rPr>
      <t>(Aperfeiçoamento desse processo através de um banco de talentos)</t>
    </r>
  </si>
  <si>
    <t>Ter um acompanhamento periodico das normativas e comunicação entre as áreas educacionais</t>
  </si>
  <si>
    <t>Acompanhamento da oferta  - Bolsas/PSG(CSE) - Reuniões Semanais - Sistema SIM
Acompanhamento do comercial (NC)
PCA (Compartilhado com todas as áreas - CEPs/DAF e DIREG);
Na elaboração do PCA com pesquisa de mercado, articulações com os sindicatos e inovação no portifólio.</t>
  </si>
  <si>
    <t>Na elaboração do PCA com pesquisa de mercado, articulações com os sindicatos e inovação no portifólio.</t>
  </si>
  <si>
    <t xml:space="preserve">Multas, suspensão de cursos e impacto negativo na reputação da instituição, perda de autorizações (credenciamento e recredenciamento)e baixa avaliações (MEC) </t>
  </si>
  <si>
    <t>Diretriz/Meta: Diretriz 1.8 (Ampliar o portfólio de oferta da Educação Profissional) e Diretriz 6.3 (Lançar pesquisas em segmentos de atuação do Senac-DF).</t>
  </si>
  <si>
    <t>Diretriz/Meta: Diretriz 1.5 (Implantar procedimentos para melhoria da experiência do aluno) e Diretriz 5.3 (Gerir as carreiras e capacitações).</t>
  </si>
  <si>
    <t>Diretriz/Meta: Diretriz 5.3 (Gerir as carreiras e capacitações) e Diretriz 5.4 (Instituir o Programa de Bem-estar e Qualidade de Vida no Trabalho).</t>
  </si>
  <si>
    <t>Diretriz/Meta: Diretriz 6.1 (Adotar calendário para promoção da educação profissional e tecnológica) e Diretriz 6.2 (Promover eventos sobre educação &amp; trabalho).</t>
  </si>
  <si>
    <t>Diretriz/Meta: Diretriz 1.1 (Cumprir o Planejamento Anual de Cursos) e Diretriz 5.2 (Implementar softwares de inteligência artificial).</t>
  </si>
  <si>
    <t>Diretriz/Meta: Diretriz 5.1 (Gerir o Programa de Compliance) e Diretriz 5.6 (Desenvolver e integrar sistemas de gestão).</t>
  </si>
  <si>
    <t>Diretriz 5.2 (Implementar softwares de inteligência artificial) e Diretriz 5.6 (Desenvolver e integrar sistemas de gestão) e : Diretriz 2.1 (Alcançar recebimento líquido geral no varejo com serviços educacionais)</t>
  </si>
  <si>
    <t>Diretriz/Meta: Diretriz 5.2 (Implementar softwares de inteligência artificial) e Diretriz 5.6 (Desenvolver e integrar sistemas de gestão).</t>
  </si>
  <si>
    <t>Diretriz/Meta: Diretriz 2.1 (Alcançar recebimento líquido geral no varejo com serviços educacionais) e Diretriz 5.6 (Desenvolver e integrar sistemas de gestão).</t>
  </si>
  <si>
    <t>Diretriz/Meta: Diretriz 2.4 (Implantar novo método de acesso a alunos) e Diretriz 6.1 (Adotar calendário para promoção da educação profissional e tecnológica).</t>
  </si>
  <si>
    <t>Diretriz/Meta: Diretriz 5.5 (Gerir Política de Diversidade, Equidade e Inclusão) e Diretriz 5.1 (Gerir o Programa de Compliance).</t>
  </si>
  <si>
    <t>Diretriz/Meta: Diretriz 5.3 (Gerir as carreiras e capacitações) e Diretriz 5.5 (Gerir Política de Diversidade, Equidade e Inclusão).</t>
  </si>
  <si>
    <t>Diretriz/Meta: Diretriz 5.4 (Instituir o Programa de Bem-estar e Qualidade de Vida no Trabalho) e Diretriz 5.3 (Gerir as carreiras e capacitações).</t>
  </si>
  <si>
    <t>Diretriz/Meta: Diretriz 5.3 (Gerir as carreiras e capacitações) e Diretriz 5.1 (Gerir o Programa de Compliance).</t>
  </si>
  <si>
    <t>Diretriz/Meta: Diretriz 5.1 (Gerir o Programa de Compliance) e Diretriz 5.3 (Gerir as carreiras e capacitações).</t>
  </si>
  <si>
    <t>Diretriz/Meta: Diretriz 3.4 (Modernizar unidades educacionais próprias) e Diretriz 5.6 (Desenvolver e integrar sistemas de gestão).</t>
  </si>
  <si>
    <t>KR 1.2 - Alcançar 70% dos docentes do Senac com ações de qualificação em práticas e ferramentas que incluam IA no processo de ensino-aprendizagem.</t>
  </si>
  <si>
    <t>KR 6.1 - Atingir 70% do Programa de Integridade.</t>
  </si>
  <si>
    <t>KR 5.1 - Concluir 50% das etapas da execução do projeto de 1 (uma) solução inovadora viável, aplicável a uma empresa ou setor de atividade econômica estratégica atendida pelo Senac (Saúde, TI ou Turismo).
KPI 3.1.1.a - Taxa de empresas contribuintes atendidas nas atividades econômicas de Saúde atendidas pelo Senac.
KPI 3.1.1.b - Taxa de empresas não contribuintes atendidas nas atividades econômicas de Saúde atendidas pelo Senac.
KPI 3.1.1.c - Taxa de empresas contribuintes atendidas nas atividades econômicas de TI atendidas pelo Senac.
KPI 3.1.1.d - Taxa de empresas não contribuintes atendidas nas atividades econômicas de TI atendidas pelo Senac.
KPI 3.1.1.e - Taxa de empresas contribuintes atendidas nas atividades econômicas de Turismo atendidas pelo Senac.
KPI 3.1.1.f - Taxa de empresas não contribuintes atendidas nas atividades econômicas de Turismo atendidas pelo Senac.</t>
  </si>
  <si>
    <t>Diretriz/Meta: Diretriz 5.3 (Gerir as carreiras e capacitações) e Diretriz 5.5 (Gerir Política de Diversidade, Equidade e Inclusão) e Diretriz 5.1 (Gerir o Programa de Compliance).</t>
  </si>
  <si>
    <t xml:space="preserve">KR 1.2 - Alcançar 70% dos docentes do Senac com ações de qualificação em práticas e ferramentas que incluam IA no processo de ensino-aprendizagem.
</t>
  </si>
  <si>
    <t>KR 4.1 - Alcançar 20% da população local com as ações de comunicação.</t>
  </si>
  <si>
    <t>Plano de Metas 2025</t>
  </si>
  <si>
    <t>KR 7.1 - Atingir 3 ações de fomento à cultura de dados para todos os empregados.</t>
  </si>
  <si>
    <t xml:space="preserve">Objetivo 1: Ofertar educação profissional transformadora.
KR 1.1 - Alcançar 80% de cursos HPTNM, Aprendizagem e Qualificação Profissional com soluções de IA integradas aos processos de ensino-aprendizagem.
</t>
  </si>
  <si>
    <t xml:space="preserve">Planejamento estratégicos 2024 – 
Objetivos Estrategicos DN </t>
  </si>
  <si>
    <t>Objetivo 1: Ofertar educação profissional transformadora.
KR 1.1 - Alcançar 80% de cursos HPTNM, Aprendizagem e Qualificação Profissional com soluções de IA integradas aos processos de ensino-aprendizagem.</t>
  </si>
  <si>
    <t>Objetivo 1: Ofertar educação profissional transformadora.  
KR 1.2 - Alcançar 70% dos docentes do Senac com ações de qualificação em práticas e ferramentas que incluam IA no processo de ensino-aprendizagem.</t>
  </si>
  <si>
    <t>Objetivo 1: Ofertar educação profissional transformadora.</t>
  </si>
  <si>
    <t>Objetivo 2: Orientar a oferta do PSG para a inclusão social, produtiva e digital dos alunos.</t>
  </si>
  <si>
    <t>Objetivo 2: Orientar a oferta do PSG para a inclusão social, produtiva e digital dos alunos.
KPI 2.1 - Total de ações voltadas para o clima escolar.</t>
  </si>
  <si>
    <t xml:space="preserve">Objetivo 1: Ofertar educação profissional transformadora.
Objetivo 4: Fortalecer a audiência da marca Senac.
KR 2.1 - Reduzir a taxa de evasão em 5% do PSG no ensino presencial.
KR 3.1 - Aumentar em 5% a quantidade de empresas contribuintes dos setores de atividade econômica relacionados à Saúde, TI e Turismo atendidas pelo Senac.
KR 4.1 - Alcançar 20% da população local com as ações de comunicação.
KR 4.2 - Atingir 3% de taxa de cliques em campanhas de comunicação digital de produtos/serviços voltados às empresas.
</t>
  </si>
  <si>
    <t>Objetivo 2: Orientar a oferta do PSG para a inclusão social, produtiva e digital dos alunos.
Objetivo 4: Fortalecer a audiência da marca Senac.
KR 2.1 - Reduzir a taxa de evasão em 5% do PSG no ensino presencial.
KR 4.1 - Alcançar 20% da população local com as ações de comunicação.
KR 4.2 - Atingir 3% de taxa de cliques em campanhas de comunicação digital de produtos/serviços voltados às empresas.</t>
  </si>
  <si>
    <t>Objetivo 4: Fortalecer a audiência da marca Senac.</t>
  </si>
  <si>
    <t>Objetivo 4: Fortalecer a audiência da marca Senac.
KR 3.1 - Aumentar em 5% a quantidade de empresas contribuintes dos setores de atividade econômica relacionados à Saúde, TI e Turismo atendidas pelo Senac.
KR 5.1 - Concluir 50% das etapas da execução do projeto de 1 (uma) solução inovadora viável, aplicável a uma empresa ou setor de atividade econômica estratégica atendida pelo Senac (Saúde, TI ou Turismo).</t>
  </si>
  <si>
    <t>Objetivo 5: Impulsionar a cultura da inovação.</t>
  </si>
  <si>
    <t>Objetivo 6: Fortalecer a cultura de conformidade e integridade no Senac.
KR 6.1 - Atingir 70% do Programa de Integridade.
KR 6.3 - Atingir 100% dos DRs em nível de segurança na execução do indicador de recursos destinados à atividade finalística.</t>
  </si>
  <si>
    <t>Objetivo 6: Fortalecer a cultura de conformidade e integridade no Senac.
KR 6.1 - Atingir 70% do Programa de Integridade.</t>
  </si>
  <si>
    <t>Objetivo 6: Fortalecer a cultura de conformidade e integridade no Senac.
KR 6.2 - Atingir 100% dos DRs em nível de segurança na execução do indicador de Custo hora-aula.
KR 6.3 - Atingir 100% dos DRs em nível de segurança na execução do indicador de recursos destinados à atividade finalística.</t>
  </si>
  <si>
    <t>Objetivo 6: Fortalecer a cultura de conformidade e integridade no Senac.</t>
  </si>
  <si>
    <t>Objetivo 7: Fortalecer a cultura de análise de dados no processo decisório.
KR 7.1 - Atingir 3 ações de fomento à cultura de dados para todos os empregados.</t>
  </si>
  <si>
    <t>Objetivo 7: Fortalecer a cultura de análise de dados no processo decisório.</t>
  </si>
  <si>
    <t>Objetivo 6: Fortalecer a cultura de conformidade e integridade no Senac.
Objetivo 7: Fortalecer a cultura de análise de dados no processo decisório.
KR 6.2 - Atingir 100% dos DRs em nível de segurança na execução do indicador de Custo hora-aula.
KR 6.3 - Atingir 100% dos DRs em nível de segurança na execução do indicador de recursos destinados à atividade finalística.</t>
  </si>
  <si>
    <t>Redução no índice de recuperação de crédito e impacto no caixa (pouco impacto)</t>
  </si>
  <si>
    <t xml:space="preserve">Atualização do Regimento com atribuições para realização de cobrança - Contas a Receber;
Resolução com Manual de cobrança que estabelece fluxos;
Processo SEI IPCD (Instrumento particuplar de confissão de dívida);
BI - Acompanhamento da situação de inadimplência (CEPs, Tele Atendimento e Núcleo de Contas a Receber);
Faculdade - Planilhas - Acompanhamento da situação de inadimplência;
 </t>
  </si>
  <si>
    <t>Atualização do Regimento com atribuições para realização de cobrança - Contas a Receber;</t>
  </si>
  <si>
    <t>Resolução com Manual de cobrança que estabelece fluxos;</t>
  </si>
  <si>
    <t>Processo SEI IPCD (Instrumento particuplar de confissão de dívida);</t>
  </si>
  <si>
    <t>BI - Acompanhamento da situação de inadimplência (CEPs, Tele Atendimento e Núcleo de Contas a Receber);</t>
  </si>
  <si>
    <t>Faculdade - Planilhas - Acompanhamento da situação de inadimplência;</t>
  </si>
  <si>
    <t>CFC/DAF/DIREG/CR</t>
  </si>
  <si>
    <t>Núcleo CR/CFC/PO</t>
  </si>
  <si>
    <t>Núcleo CR/CFC</t>
  </si>
  <si>
    <t>Núcleo CR</t>
  </si>
  <si>
    <t>Atualização do Regimento com atribuições para realização de cobrança - Contas a Receber;
Resolução com Manual de cobrança que estabelece fluxos;
Processo SEI IPCD (Instrumento particuplar de confissão de dívida);
BI - Acompanhamento da situação de inadimplência (CEPs, Tele Atendimento e Núcleo de Contas a Receber);
Faculdade - Planilhas - Acompanhamento da situação de inadimplência;</t>
  </si>
  <si>
    <t>Assinatura de contrato pelo sistema SIG, com modelo validado pelo Jurídico;
Faculdade - Contrato assinado pelo sistema SEI(administrativo);
Monitoramento da efetiva assinatura contratual através de relatório no sistema SIG.
Faculdade - O NUCR verifica todos os processos SEI(administrativo) que ainda não foram assinados e repassa para Facul.</t>
  </si>
  <si>
    <t>Assinatura de contrato pelo sistema SIG, com modelo validado pelo Jurídico;</t>
  </si>
  <si>
    <t>Faculdade - Contrato assinado pelo sistema SEI(administrativo);</t>
  </si>
  <si>
    <t>Monitoramento da efetiva assinatura contratual através de relatório no sistema SIG.</t>
  </si>
  <si>
    <t>Faculdade - O NUCR verifica todos os processos SEI(administrativo) que ainda não foram assinados e repassa para Facul.</t>
  </si>
  <si>
    <t>Fac. SENAC/Núcleo CR</t>
  </si>
  <si>
    <t>Resolução Senac AR/DF nº 1488/2023 - Anexo I - Contrato de prestação de serviços.
Parametrização no sistema SIG do modelo de contratos conforme resolução.</t>
  </si>
  <si>
    <t>Resolução Senac AR/DF nº 1488/2023 - Anexo I - Contrato de prestação de serviços.</t>
  </si>
  <si>
    <t>Parametrização no sistema SIG do modelo de contratos conforme resolução.</t>
  </si>
  <si>
    <t>Novas modalidades de pagamento: Cartão de crédito, débito, recorrência de cartão.(Manual de contas a receber)</t>
  </si>
  <si>
    <t>Centralização do financeiro no NUCRCP;</t>
  </si>
  <si>
    <t>Centralização do financeiro no NUCRCP;
Após a aprovação do Manual de Contas a Receber, não é permitido retirada de juros e multa. 
O prazo de validade do boleto é 90 dias após o vencimento.
Todos os critérios de renegociação estão definidos no Manual de Contas a Receber;
Somente a Faculdade tem a opção de acesso ao financeiro no SIG.</t>
  </si>
  <si>
    <t xml:space="preserve">Após a aprovação do Manual de Contas a Receber, não é permitido retirada de juros e multa. </t>
  </si>
  <si>
    <t>O prazo de validade do boleto é 90 dias após o vencimento.</t>
  </si>
  <si>
    <t>Todos os critérios de renegociação estão definidos no Manual de Contas a Receber;</t>
  </si>
  <si>
    <t>Somente a Faculdade tem a opção de acesso ao financeiro no SIG.</t>
  </si>
  <si>
    <t>Núcleo CR/CFC/DAF</t>
  </si>
  <si>
    <t>Núcleo CR/CFC/DAF/Fac. Senac</t>
  </si>
  <si>
    <t>Conciliação dos relatórios entre os sistemas educacionais SEI e SIG com o sistema MXM.
A partir Maio/2022 houve uma implantação do SIG e as inconsistências de integração foram reduzidas.</t>
  </si>
  <si>
    <t>Inconsistências nos registros financeiros</t>
  </si>
  <si>
    <t>Conciliação dos relatórios entre os sistemas educacionais SEI e SIG com o sistema MXM.</t>
  </si>
  <si>
    <t>A partir Maio/2022 houve uma implantação do SIG e as inconsistências de integração foram reduzidas.</t>
  </si>
  <si>
    <t>Auditoria do Conselho Fiscal Anual e aprovação mensal do balancete contábil.</t>
  </si>
  <si>
    <t>CF</t>
  </si>
  <si>
    <t>Promoção está vinculada a liderança de uma equipe ou de um projeto.
É feita análise de perfil técnico e comportamental (pasta funcional) com a DHO e com o Gestor imediato. O trâmite dessa promoção é feito através de processo SEI e contempla preenchimento de alguns formulários.
Está em fase de inícial de contratação da empresa que vai estruturar o Plano de Avaliação de Desempenho - Processo SEI nº 2024.0000004218-18</t>
  </si>
  <si>
    <t>Solicitação de demissão é feita no processo SEI e se a justificativa não estiver adequado (sob o ponto de vista da DHO), é devolvido a área para que seja complementado.</t>
  </si>
  <si>
    <r>
      <rPr>
        <sz val="12"/>
        <color theme="1"/>
        <rFont val="Calibri"/>
        <family val="2"/>
        <scheme val="minor"/>
      </rPr>
      <t xml:space="preserve">Verificar se o processo de compras está sendo considerado como finalizado quando do recebimento 
pela área de compras na entrega ou na emissão do pedido de compras?
Obs: Se na emissão do pedido de compras, incrementando o risco uma vez que se supões necessário contato do demandante com o fornecedor.
</t>
    </r>
    <r>
      <rPr>
        <b/>
        <sz val="12"/>
        <color rgb="FFFF0000"/>
        <rFont val="Calibri"/>
        <family val="2"/>
        <scheme val="minor"/>
      </rPr>
      <t>Revisar processo de comprar das camisetas feito para o evento PDL.</t>
    </r>
  </si>
  <si>
    <t>NURES recebe a demanda por processo SEI, avaliando a requisição de solicitação. Na maioria dos casos, a requisição já vem acompanhada com currículo e parecer da área técnica com perfil para vaga.</t>
  </si>
  <si>
    <t xml:space="preserve">PCA - Plano de curso anual (DEP);
Planejamento com base no PCA (DEP);
</t>
  </si>
  <si>
    <t>Avaliação da Competência, detro do processo seletivo (Perguntas sobre o histórico profissional que darão embasamento técnico).
Treinamento da equipe de recrutamento e seleção sobre os aspectos de equidade, diversidade e inclusão.</t>
  </si>
  <si>
    <t>Está em fase de inícial de contratação da empresa que vai estruturar o Plano de Avaliação de Desempenho - Processo SEI nº 2024.0000004218-18</t>
  </si>
  <si>
    <t>Contrato de trabalho validado pelo Jurídico.</t>
  </si>
  <si>
    <t xml:space="preserve">Desalinhamento com expectativas e objetivos do cargo </t>
  </si>
  <si>
    <r>
      <rPr>
        <b/>
        <sz val="12"/>
        <rFont val="Calibri"/>
        <family val="2"/>
        <scheme val="minor"/>
      </rPr>
      <t>Ambiente SIG:</t>
    </r>
    <r>
      <rPr>
        <sz val="12"/>
        <rFont val="Calibri"/>
        <family val="2"/>
        <scheme val="minor"/>
      </rPr>
      <t xml:space="preserve">
Contrato registrado em cartório - Avaliado pelo jurídico;
Contrato que está no SIG só permite inclusão de dados de identificação do aluno, do serviço contratado e assinatura;
Antes do dia 17/11/2024 - Acompanhamento manual por meio de inspeção visual de todos os contratos. A partir de 18/11/24 a funcionalidade de assinatura está disponível no sistema SIG.
Sistema SIG - Relatório de aceite de contrato 0028. 
O sistema SIG administrado pelas funções e melhorias pelo DN.
Está em fase de elaboração pela TI uma carta de melhoria para o sistema SIG ao DN.
Normativa - Manual de contas a receber.
</t>
    </r>
    <r>
      <rPr>
        <b/>
        <sz val="12"/>
        <rFont val="Calibri"/>
        <family val="2"/>
        <scheme val="minor"/>
      </rPr>
      <t>Ambiente da Faculdade Senac:</t>
    </r>
    <r>
      <rPr>
        <sz val="12"/>
        <rFont val="Calibri"/>
        <family val="2"/>
        <scheme val="minor"/>
      </rPr>
      <t xml:space="preserve">
Ambiente SEI Educacional;
A área recebe da Fac. Senac relatório com as matrículas efetuadas;
Após recebimento do relatório é feita a verificação de todos os processos SEI com os contratos se estão assinados;
Processo SEI Documental do Contrato e aditivos;</t>
    </r>
  </si>
  <si>
    <t xml:space="preserve">Contrataçoes inadequadas </t>
  </si>
  <si>
    <t>CFC/TI/DAF/DIREG</t>
  </si>
  <si>
    <t>NUPRE/DHO/DIREG</t>
  </si>
  <si>
    <t>Ambiente SIG:</t>
  </si>
  <si>
    <t>Ambiente da Faculdade Senac:</t>
  </si>
  <si>
    <t>Ambiente SEI Educacional;</t>
  </si>
  <si>
    <t>A área recebe da Fac. Senac relatório com as matrículas efetuadas;</t>
  </si>
  <si>
    <t>Após recebimento do relatório é feita a verificação de todos os processos SEI com os contratos se estão assinados;</t>
  </si>
  <si>
    <t>Processo SEI Documental do Contrato e aditivos;</t>
  </si>
  <si>
    <t>Canal de denúncias independente</t>
  </si>
  <si>
    <t>Comissão de Ética</t>
  </si>
  <si>
    <t>Regimento Interno da Comissão de Ética</t>
  </si>
  <si>
    <t>Pesquisas realizadas nos cursos(Ouvidoria)</t>
  </si>
  <si>
    <t>Política de Não Retaliação</t>
  </si>
  <si>
    <t>Instituiu o Programa de Saúde e Bem-Estar Corporativo no âmbito do Senac AR/DF - Aprovado na Reunião do CR em abril/2025</t>
  </si>
  <si>
    <t>DHO/DIREG/PCR/CR</t>
  </si>
  <si>
    <t>DIREG</t>
  </si>
  <si>
    <t>Promoção está vinculada a liderança de uma equipe ou de um projeto.</t>
  </si>
  <si>
    <t>É feita análise de perfil técnico e comportamental (pasta funcional) com a DHO e com o Gestor imediato. O trâmite dessa promoção é feito através de processo SEI e contempla preenchimento de alguns formulários.</t>
  </si>
  <si>
    <t>PCA - Plano de curso anual (DEP);</t>
  </si>
  <si>
    <t>Planejamento com base no PCA (DEP);</t>
  </si>
  <si>
    <t>Treinamentos periódicos para equipe financeira
Camada de revisão antes do fechamento de relatórios.
Checklists baseados em requisitos legais.</t>
  </si>
  <si>
    <r>
      <rPr>
        <b/>
        <sz val="12"/>
        <rFont val="Calibri"/>
        <family val="2"/>
        <scheme val="minor"/>
      </rPr>
      <t xml:space="preserve">Contas a pagar: </t>
    </r>
    <r>
      <rPr>
        <sz val="12"/>
        <rFont val="Calibri"/>
        <family val="2"/>
        <scheme val="minor"/>
      </rPr>
      <t xml:space="preserve">
Logs de sistema (registros de quem aprovou/pagou e quando).
Conciliação bancária (comprovando que os pagamentos foram efetuados corretamente).
Checklists de conformidade (para evitar pagamentos duplicados ou não autorizados).
</t>
    </r>
    <r>
      <rPr>
        <b/>
        <sz val="12"/>
        <rFont val="Calibri"/>
        <family val="2"/>
        <scheme val="minor"/>
      </rPr>
      <t>Contas a receber:</t>
    </r>
    <r>
      <rPr>
        <sz val="12"/>
        <rFont val="Calibri"/>
        <family val="2"/>
        <scheme val="minor"/>
      </rPr>
      <t xml:space="preserve">
Conciliação contábil (conferência entre notas emitidas e valores recebidos).
Relatórios de aging (vencimentos a receber).
Logs de alteração em recibos/faturas (para evitar fraudes ou inconsistências).</t>
    </r>
  </si>
  <si>
    <r>
      <rPr>
        <b/>
        <sz val="12"/>
        <color theme="1"/>
        <rFont val="Calibri"/>
        <family val="2"/>
        <scheme val="minor"/>
      </rPr>
      <t xml:space="preserve">Contas a pagar: </t>
    </r>
    <r>
      <rPr>
        <sz val="12"/>
        <color theme="1"/>
        <rFont val="Calibri"/>
        <family val="2"/>
        <scheme val="minor"/>
      </rPr>
      <t xml:space="preserve">
Logs de sistema (registros de quem aprovou/pagou e quando).
Conciliação bancária (comprovando que os pagamentos foram efetuados corretamente).
Checklists de conformidade (para evitar pagamentos duplicados ou não autorizados).
</t>
    </r>
    <r>
      <rPr>
        <b/>
        <sz val="12"/>
        <color theme="1"/>
        <rFont val="Calibri"/>
        <family val="2"/>
        <scheme val="minor"/>
      </rPr>
      <t>Contas a receber:</t>
    </r>
    <r>
      <rPr>
        <sz val="12"/>
        <color theme="1"/>
        <rFont val="Calibri"/>
        <family val="2"/>
        <scheme val="minor"/>
      </rPr>
      <t xml:space="preserve">
Conciliação contábil (conferência entre notas emitidas e valores recebidos).
Relatórios de aging (vencimentos a receber).
Logs de alteração em recibos/faturas (para evitar fraudes ou inconsistências).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</si>
</sst>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&quot;R$ &quot;* #,##0.00_);_(&quot;R$ &quot;* \(#,##0.00\);_(&quot;R$ &quot;* &quot;-&quot;??_);_(@_)"/>
    <numFmt numFmtId="166" formatCode="[$-416]mmm\-yy;@"/>
  </numFmts>
  <fonts count="31">
    <font>
      <sz val="10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4"/>
      <name val="Calibri"/>
      <family val="2"/>
    </font>
    <font>
      <sz val="7"/>
      <name val="Times New Roman"/>
      <family val="1"/>
    </font>
    <font>
      <b/>
      <sz val="11"/>
      <color theme="3" tint="-0.249977111117893"/>
      <name val="Calibri"/>
      <family val="2"/>
      <scheme val="minor"/>
    </font>
    <font>
      <u/>
      <sz val="10"/>
      <color indexed="12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3" tint="-0.249977111117893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theme="1"/>
      <name val="Calibri (Corpo)"/>
    </font>
    <font>
      <sz val="12"/>
      <color theme="1"/>
      <name val="Calibri (Corpo)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52"/>
        <bgColor indexed="29"/>
      </patternFill>
    </fill>
    <fill>
      <patternFill patternType="solid">
        <fgColor indexed="57"/>
        <bgColor indexed="19"/>
      </patternFill>
    </fill>
    <fill>
      <patternFill patternType="solid">
        <fgColor indexed="53"/>
        <bgColor indexed="10"/>
      </patternFill>
    </fill>
    <fill>
      <patternFill patternType="solid">
        <fgColor indexed="13"/>
        <bgColor indexed="3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8" tint="0.59999389629810485"/>
        <bgColor indexed="64"/>
      </patternFill>
    </fill>
  </fills>
  <borders count="70">
    <border>
      <left/>
      <right/>
      <top/>
      <bottom/>
      <diagonal/>
    </border>
    <border>
      <left style="double">
        <color theme="0"/>
      </left>
      <right/>
      <top/>
      <bottom style="double">
        <color theme="0"/>
      </bottom>
      <diagonal/>
    </border>
    <border>
      <left style="double">
        <color theme="0"/>
      </left>
      <right style="double">
        <color theme="0"/>
      </right>
      <top/>
      <bottom style="double">
        <color theme="0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theme="0"/>
      </right>
      <top style="double">
        <color theme="0"/>
      </top>
      <bottom style="double">
        <color theme="0"/>
      </bottom>
      <diagonal/>
    </border>
    <border>
      <left/>
      <right/>
      <top style="thin">
        <color indexed="64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double">
        <color theme="0"/>
      </left>
      <right style="double">
        <color theme="0"/>
      </right>
      <top/>
      <bottom/>
      <diagonal/>
    </border>
    <border>
      <left style="thick">
        <color theme="3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 style="double">
        <color theme="0"/>
      </left>
      <right style="thick">
        <color theme="3"/>
      </right>
      <top style="double">
        <color theme="0"/>
      </top>
      <bottom style="double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ck">
        <color theme="3"/>
      </right>
      <top style="thick">
        <color theme="3"/>
      </top>
      <bottom style="thin">
        <color theme="3"/>
      </bottom>
      <diagonal/>
    </border>
    <border>
      <left style="thick">
        <color theme="3"/>
      </left>
      <right style="thin">
        <color theme="3"/>
      </right>
      <top style="thin">
        <color theme="3"/>
      </top>
      <bottom style="thick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ck">
        <color theme="3"/>
      </bottom>
      <diagonal/>
    </border>
    <border>
      <left style="thick">
        <color theme="3"/>
      </left>
      <right/>
      <top/>
      <bottom/>
      <diagonal/>
    </border>
    <border>
      <left style="double">
        <color theme="0"/>
      </left>
      <right/>
      <top/>
      <bottom/>
      <diagonal/>
    </border>
    <border>
      <left style="double">
        <color theme="0"/>
      </left>
      <right style="thick">
        <color theme="3"/>
      </right>
      <top/>
      <bottom/>
      <diagonal/>
    </border>
    <border>
      <left style="thick">
        <color theme="3"/>
      </left>
      <right style="thin">
        <color theme="3"/>
      </right>
      <top style="thick">
        <color theme="3"/>
      </top>
      <bottom style="double">
        <color theme="0"/>
      </bottom>
      <diagonal/>
    </border>
    <border>
      <left style="thin">
        <color theme="3"/>
      </left>
      <right style="thin">
        <color theme="3"/>
      </right>
      <top style="thick">
        <color theme="3"/>
      </top>
      <bottom style="double">
        <color theme="0"/>
      </bottom>
      <diagonal/>
    </border>
    <border>
      <left style="thin">
        <color theme="3"/>
      </left>
      <right style="thick">
        <color theme="3"/>
      </right>
      <top style="thick">
        <color theme="3"/>
      </top>
      <bottom style="double">
        <color theme="0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thick">
        <color theme="3"/>
      </bottom>
      <diagonal/>
    </border>
    <border>
      <left style="double">
        <color theme="0"/>
      </left>
      <right style="thick">
        <color theme="3"/>
      </right>
      <top style="double">
        <color theme="0"/>
      </top>
      <bottom style="thick">
        <color theme="3"/>
      </bottom>
      <diagonal/>
    </border>
    <border>
      <left style="thick">
        <color theme="3"/>
      </left>
      <right style="thin">
        <color theme="3"/>
      </right>
      <top style="double">
        <color theme="0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double">
        <color theme="0"/>
      </top>
      <bottom style="thin">
        <color theme="3"/>
      </bottom>
      <diagonal/>
    </border>
    <border>
      <left style="thin">
        <color theme="3"/>
      </left>
      <right style="double">
        <color theme="0"/>
      </right>
      <top style="double">
        <color theme="0"/>
      </top>
      <bottom style="thin">
        <color theme="3"/>
      </bottom>
      <diagonal/>
    </border>
    <border>
      <left style="thin">
        <color theme="3"/>
      </left>
      <right style="double">
        <color theme="0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double">
        <color theme="0"/>
      </right>
      <top style="thin">
        <color theme="3"/>
      </top>
      <bottom style="thick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/>
      </left>
      <right/>
      <top style="double">
        <color theme="0"/>
      </top>
      <bottom style="double">
        <color theme="0"/>
      </bottom>
      <diagonal/>
    </border>
    <border>
      <left/>
      <right style="double">
        <color theme="0"/>
      </right>
      <top/>
      <bottom/>
      <diagonal/>
    </border>
    <border>
      <left/>
      <right style="thin">
        <color theme="3"/>
      </right>
      <top style="thick">
        <color theme="3"/>
      </top>
      <bottom style="thin">
        <color theme="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theme="0"/>
      </left>
      <right/>
      <top style="double">
        <color theme="0"/>
      </top>
      <bottom/>
      <diagonal/>
    </border>
    <border>
      <left/>
      <right style="thick">
        <color theme="3"/>
      </right>
      <top style="double">
        <color theme="0"/>
      </top>
      <bottom/>
      <diagonal/>
    </border>
    <border>
      <left/>
      <right style="thick">
        <color theme="3"/>
      </right>
      <top/>
      <bottom style="double">
        <color theme="0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theme="0"/>
      </top>
      <bottom style="thin">
        <color theme="3"/>
      </bottom>
      <diagonal/>
    </border>
    <border>
      <left/>
      <right style="thin">
        <color theme="3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theme="0"/>
      </right>
      <top style="double">
        <color theme="0"/>
      </top>
      <bottom/>
      <diagonal/>
    </border>
  </borders>
  <cellStyleXfs count="16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0" borderId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164" fontId="5" fillId="0" borderId="0" applyFont="0" applyFill="0" applyBorder="0" applyAlignment="0" applyProtection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166" fontId="4" fillId="0" borderId="0"/>
    <xf numFmtId="166" fontId="9" fillId="0" borderId="0" applyNumberFormat="0" applyFill="0" applyBorder="0" applyAlignment="0" applyProtection="0">
      <alignment vertical="top"/>
      <protection locked="0"/>
    </xf>
    <xf numFmtId="166" fontId="3" fillId="0" borderId="0"/>
    <xf numFmtId="0" fontId="4" fillId="0" borderId="0"/>
  </cellStyleXfs>
  <cellXfs count="289">
    <xf numFmtId="0" fontId="0" fillId="0" borderId="0" xfId="0"/>
    <xf numFmtId="0" fontId="6" fillId="0" borderId="0" xfId="0" applyFont="1" applyAlignment="1">
      <alignment horizontal="left" indent="4"/>
    </xf>
    <xf numFmtId="164" fontId="8" fillId="6" borderId="0" xfId="8" applyFont="1" applyFill="1" applyBorder="1" applyAlignment="1" applyProtection="1">
      <alignment horizontal="left" vertical="center"/>
      <protection locked="0"/>
    </xf>
    <xf numFmtId="0" fontId="10" fillId="11" borderId="18" xfId="0" applyFont="1" applyFill="1" applyBorder="1" applyAlignment="1">
      <alignment horizontal="center" vertical="center" wrapText="1"/>
    </xf>
    <xf numFmtId="0" fontId="14" fillId="7" borderId="5" xfId="0" applyFont="1" applyFill="1" applyBorder="1" applyAlignment="1" applyProtection="1">
      <alignment horizontal="center" vertical="center" wrapText="1"/>
      <protection locked="0"/>
    </xf>
    <xf numFmtId="0" fontId="15" fillId="6" borderId="0" xfId="0" applyFont="1" applyFill="1" applyAlignment="1" applyProtection="1">
      <alignment horizontal="center" vertical="center"/>
      <protection locked="0"/>
    </xf>
    <xf numFmtId="0" fontId="15" fillId="8" borderId="1" xfId="0" applyFont="1" applyFill="1" applyBorder="1" applyAlignment="1" applyProtection="1">
      <alignment horizontal="center" vertical="center"/>
      <protection locked="0"/>
    </xf>
    <xf numFmtId="0" fontId="15" fillId="9" borderId="1" xfId="0" applyFont="1" applyFill="1" applyBorder="1" applyAlignment="1" applyProtection="1">
      <alignment horizontal="center" vertical="center"/>
      <protection locked="0"/>
    </xf>
    <xf numFmtId="0" fontId="15" fillId="10" borderId="1" xfId="0" applyFont="1" applyFill="1" applyBorder="1" applyAlignment="1" applyProtection="1">
      <alignment horizontal="center" vertical="center"/>
      <protection locked="0"/>
    </xf>
    <xf numFmtId="0" fontId="15" fillId="10" borderId="15" xfId="0" applyFont="1" applyFill="1" applyBorder="1" applyAlignment="1" applyProtection="1">
      <alignment horizontal="center" vertical="center"/>
      <protection locked="0"/>
    </xf>
    <xf numFmtId="0" fontId="15" fillId="10" borderId="26" xfId="0" applyFont="1" applyFill="1" applyBorder="1" applyAlignment="1" applyProtection="1">
      <alignment horizontal="center" vertical="center"/>
      <protection locked="0"/>
    </xf>
    <xf numFmtId="0" fontId="15" fillId="8" borderId="26" xfId="0" applyFont="1" applyFill="1" applyBorder="1" applyAlignment="1" applyProtection="1">
      <alignment horizontal="center" vertical="center"/>
      <protection locked="0"/>
    </xf>
    <xf numFmtId="0" fontId="16" fillId="6" borderId="0" xfId="0" applyFont="1" applyFill="1" applyAlignment="1" applyProtection="1">
      <alignment horizontal="right" textRotation="90"/>
      <protection locked="0"/>
    </xf>
    <xf numFmtId="0" fontId="15" fillId="6" borderId="18" xfId="0" applyFont="1" applyFill="1" applyBorder="1" applyAlignment="1" applyProtection="1">
      <alignment horizontal="center" vertical="top"/>
      <protection locked="0"/>
    </xf>
    <xf numFmtId="0" fontId="14" fillId="7" borderId="2" xfId="0" applyFont="1" applyFill="1" applyBorder="1" applyAlignment="1" applyProtection="1">
      <alignment horizontal="center" vertical="center"/>
      <protection locked="0"/>
    </xf>
    <xf numFmtId="0" fontId="10" fillId="11" borderId="3" xfId="0" applyFont="1" applyFill="1" applyBorder="1" applyAlignment="1" applyProtection="1">
      <alignment horizontal="center" vertical="center" wrapText="1"/>
      <protection locked="0"/>
    </xf>
    <xf numFmtId="0" fontId="10" fillId="11" borderId="41" xfId="0" applyFont="1" applyFill="1" applyBorder="1" applyAlignment="1" applyProtection="1">
      <alignment horizontal="center" vertical="center" wrapText="1"/>
      <protection locked="0"/>
    </xf>
    <xf numFmtId="9" fontId="10" fillId="11" borderId="41" xfId="12" applyNumberFormat="1" applyFont="1" applyFill="1" applyBorder="1" applyAlignment="1" applyProtection="1">
      <alignment horizontal="center" vertical="center" wrapText="1"/>
      <protection locked="0"/>
    </xf>
    <xf numFmtId="0" fontId="17" fillId="0" borderId="38" xfId="0" applyFont="1" applyBorder="1" applyAlignment="1" applyProtection="1">
      <alignment horizontal="left" vertical="center" wrapText="1"/>
      <protection locked="0"/>
    </xf>
    <xf numFmtId="0" fontId="17" fillId="0" borderId="18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0" fillId="11" borderId="16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 wrapText="1"/>
    </xf>
    <xf numFmtId="9" fontId="10" fillId="11" borderId="16" xfId="0" applyNumberFormat="1" applyFont="1" applyFill="1" applyBorder="1" applyAlignment="1">
      <alignment horizontal="center" vertical="center" wrapText="1"/>
    </xf>
    <xf numFmtId="9" fontId="10" fillId="11" borderId="3" xfId="0" applyNumberFormat="1" applyFont="1" applyFill="1" applyBorder="1" applyAlignment="1">
      <alignment horizontal="center" vertical="center" wrapText="1"/>
    </xf>
    <xf numFmtId="0" fontId="15" fillId="9" borderId="18" xfId="0" applyFont="1" applyFill="1" applyBorder="1" applyAlignment="1" applyProtection="1">
      <alignment horizontal="left" vertical="center" wrapText="1" indent="1"/>
      <protection locked="0"/>
    </xf>
    <xf numFmtId="0" fontId="13" fillId="0" borderId="18" xfId="0" applyFont="1" applyBorder="1" applyAlignment="1" applyProtection="1">
      <alignment horizontal="left" vertical="center" wrapText="1" indent="1"/>
      <protection locked="0"/>
    </xf>
    <xf numFmtId="9" fontId="13" fillId="0" borderId="18" xfId="0" applyNumberFormat="1" applyFont="1" applyBorder="1" applyAlignment="1" applyProtection="1">
      <alignment horizontal="center" vertical="center"/>
      <protection locked="0"/>
    </xf>
    <xf numFmtId="0" fontId="15" fillId="8" borderId="18" xfId="0" applyFont="1" applyFill="1" applyBorder="1" applyAlignment="1" applyProtection="1">
      <alignment horizontal="left" vertical="center" wrapText="1" indent="1"/>
      <protection locked="0"/>
    </xf>
    <xf numFmtId="0" fontId="15" fillId="10" borderId="18" xfId="0" applyFont="1" applyFill="1" applyBorder="1" applyAlignment="1" applyProtection="1">
      <alignment horizontal="left" vertical="center" wrapText="1" indent="1"/>
      <protection locked="0"/>
    </xf>
    <xf numFmtId="0" fontId="20" fillId="13" borderId="18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1" fillId="0" borderId="0" xfId="0" applyFont="1"/>
    <xf numFmtId="0" fontId="23" fillId="6" borderId="12" xfId="0" applyFont="1" applyFill="1" applyBorder="1" applyAlignment="1">
      <alignment horizontal="left" vertical="center" wrapText="1"/>
    </xf>
    <xf numFmtId="0" fontId="17" fillId="0" borderId="18" xfId="0" applyFont="1" applyBorder="1" applyAlignment="1" applyProtection="1">
      <alignment horizontal="center" vertical="center" wrapText="1"/>
      <protection locked="0"/>
    </xf>
    <xf numFmtId="0" fontId="22" fillId="11" borderId="40" xfId="0" applyFont="1" applyFill="1" applyBorder="1" applyAlignment="1">
      <alignment horizontal="center" vertical="center" wrapText="1"/>
    </xf>
    <xf numFmtId="0" fontId="17" fillId="0" borderId="0" xfId="0" applyFont="1"/>
    <xf numFmtId="0" fontId="11" fillId="6" borderId="11" xfId="0" applyFont="1" applyFill="1" applyBorder="1" applyAlignment="1">
      <alignment horizontal="center" vertical="center"/>
    </xf>
    <xf numFmtId="0" fontId="17" fillId="6" borderId="12" xfId="0" applyFont="1" applyFill="1" applyBorder="1" applyAlignment="1">
      <alignment horizontal="left" vertical="center" wrapText="1" indent="1"/>
    </xf>
    <xf numFmtId="0" fontId="10" fillId="11" borderId="17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/>
    </xf>
    <xf numFmtId="0" fontId="17" fillId="6" borderId="14" xfId="0" applyFont="1" applyFill="1" applyBorder="1" applyAlignment="1">
      <alignment horizontal="left" vertical="center" wrapText="1" indent="1"/>
    </xf>
    <xf numFmtId="0" fontId="10" fillId="11" borderId="31" xfId="0" applyFont="1" applyFill="1" applyBorder="1" applyAlignment="1">
      <alignment horizontal="center" vertical="center" wrapText="1"/>
    </xf>
    <xf numFmtId="0" fontId="10" fillId="11" borderId="32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8" fillId="0" borderId="0" xfId="0" applyFont="1"/>
    <xf numFmtId="0" fontId="17" fillId="0" borderId="9" xfId="15" applyFont="1" applyBorder="1"/>
    <xf numFmtId="0" fontId="2" fillId="0" borderId="9" xfId="15" applyFont="1" applyBorder="1"/>
    <xf numFmtId="0" fontId="19" fillId="7" borderId="57" xfId="15" applyFont="1" applyFill="1" applyBorder="1" applyAlignment="1">
      <alignment horizontal="center" vertical="center" wrapText="1"/>
    </xf>
    <xf numFmtId="0" fontId="11" fillId="7" borderId="18" xfId="15" applyFont="1" applyFill="1" applyBorder="1" applyAlignment="1">
      <alignment horizontal="center" vertical="center" wrapText="1"/>
    </xf>
    <xf numFmtId="0" fontId="19" fillId="7" borderId="18" xfId="15" applyFont="1" applyFill="1" applyBorder="1" applyAlignment="1">
      <alignment horizontal="center" vertical="center" wrapText="1"/>
    </xf>
    <xf numFmtId="0" fontId="2" fillId="0" borderId="18" xfId="15" applyFont="1" applyBorder="1" applyAlignment="1">
      <alignment horizontal="left" vertical="top" wrapText="1"/>
    </xf>
    <xf numFmtId="17" fontId="17" fillId="0" borderId="58" xfId="15" applyNumberFormat="1" applyFont="1" applyBorder="1" applyAlignment="1">
      <alignment vertical="center" wrapText="1"/>
    </xf>
    <xf numFmtId="0" fontId="2" fillId="0" borderId="18" xfId="0" applyFont="1" applyBorder="1"/>
    <xf numFmtId="0" fontId="17" fillId="0" borderId="58" xfId="15" applyFont="1" applyBorder="1" applyAlignment="1">
      <alignment vertical="center" wrapText="1"/>
    </xf>
    <xf numFmtId="0" fontId="2" fillId="0" borderId="0" xfId="0" applyFont="1"/>
    <xf numFmtId="0" fontId="17" fillId="0" borderId="18" xfId="15" applyFont="1" applyBorder="1" applyAlignment="1">
      <alignment vertical="center" wrapText="1"/>
    </xf>
    <xf numFmtId="0" fontId="11" fillId="9" borderId="11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11" fillId="14" borderId="11" xfId="0" applyFont="1" applyFill="1" applyBorder="1" applyAlignment="1">
      <alignment horizontal="center" vertical="center"/>
    </xf>
    <xf numFmtId="0" fontId="0" fillId="0" borderId="18" xfId="0" applyBorder="1" applyAlignment="1">
      <alignment vertical="top" wrapText="1"/>
    </xf>
    <xf numFmtId="0" fontId="17" fillId="0" borderId="18" xfId="0" applyFont="1" applyBorder="1" applyAlignment="1">
      <alignment horizontal="left" vertical="top" wrapText="1"/>
    </xf>
    <xf numFmtId="0" fontId="17" fillId="0" borderId="66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4" xfId="0" applyFont="1" applyBorder="1" applyAlignment="1" applyProtection="1">
      <alignment horizontal="center" vertical="center" wrapText="1"/>
      <protection locked="0"/>
    </xf>
    <xf numFmtId="9" fontId="10" fillId="11" borderId="39" xfId="12" applyNumberFormat="1" applyFont="1" applyFill="1" applyBorder="1" applyAlignment="1" applyProtection="1">
      <alignment horizontal="center" vertical="center" wrapText="1"/>
      <protection locked="0"/>
    </xf>
    <xf numFmtId="0" fontId="17" fillId="0" borderId="55" xfId="0" applyFont="1" applyBorder="1" applyAlignment="1" applyProtection="1">
      <alignment horizontal="center" vertical="center" wrapText="1"/>
      <protection locked="0"/>
    </xf>
    <xf numFmtId="0" fontId="1" fillId="0" borderId="18" xfId="0" applyFont="1" applyBorder="1" applyAlignment="1">
      <alignment vertical="top" wrapText="1"/>
    </xf>
    <xf numFmtId="0" fontId="17" fillId="0" borderId="18" xfId="0" applyFont="1" applyBorder="1" applyAlignment="1">
      <alignment horizontal="center" vertical="top" wrapText="1"/>
    </xf>
    <xf numFmtId="0" fontId="17" fillId="0" borderId="0" xfId="0" applyFont="1" applyAlignment="1" applyProtection="1">
      <alignment wrapText="1"/>
      <protection locked="0"/>
    </xf>
    <xf numFmtId="0" fontId="17" fillId="0" borderId="0" xfId="0" applyFont="1" applyAlignment="1" applyProtection="1">
      <alignment horizontal="center" wrapText="1"/>
      <protection locked="0"/>
    </xf>
    <xf numFmtId="0" fontId="17" fillId="0" borderId="18" xfId="0" applyFont="1" applyBorder="1" applyAlignment="1" applyProtection="1">
      <alignment horizontal="center" wrapText="1"/>
      <protection locked="0"/>
    </xf>
    <xf numFmtId="0" fontId="17" fillId="15" borderId="0" xfId="0" applyFont="1" applyFill="1" applyAlignment="1" applyProtection="1">
      <alignment wrapText="1"/>
      <protection locked="0"/>
    </xf>
    <xf numFmtId="0" fontId="17" fillId="11" borderId="0" xfId="0" applyFont="1" applyFill="1" applyAlignment="1" applyProtection="1">
      <alignment wrapText="1"/>
      <protection locked="0"/>
    </xf>
    <xf numFmtId="0" fontId="17" fillId="0" borderId="18" xfId="0" applyFont="1" applyBorder="1" applyAlignment="1" applyProtection="1">
      <alignment wrapText="1"/>
      <protection locked="0"/>
    </xf>
    <xf numFmtId="0" fontId="17" fillId="0" borderId="18" xfId="0" applyFont="1" applyBorder="1" applyAlignment="1">
      <alignment horizontal="center" vertical="top"/>
    </xf>
    <xf numFmtId="0" fontId="17" fillId="0" borderId="10" xfId="0" applyFont="1" applyBorder="1" applyAlignment="1">
      <alignment horizontal="left" vertical="top" wrapText="1"/>
    </xf>
    <xf numFmtId="0" fontId="17" fillId="0" borderId="10" xfId="0" applyFont="1" applyBorder="1" applyAlignment="1">
      <alignment vertical="top" wrapText="1"/>
    </xf>
    <xf numFmtId="0" fontId="17" fillId="0" borderId="19" xfId="0" applyFont="1" applyBorder="1" applyAlignment="1" applyProtection="1">
      <alignment horizontal="left" vertical="center" wrapText="1"/>
      <protection locked="0"/>
    </xf>
    <xf numFmtId="0" fontId="17" fillId="0" borderId="0" xfId="0" applyFont="1" applyAlignment="1" applyProtection="1">
      <alignment horizontal="left" vertical="center" wrapText="1"/>
      <protection locked="0"/>
    </xf>
    <xf numFmtId="0" fontId="17" fillId="0" borderId="19" xfId="0" applyFont="1" applyBorder="1" applyAlignment="1" applyProtection="1">
      <alignment horizontal="center" vertical="center" wrapText="1"/>
      <protection locked="0"/>
    </xf>
    <xf numFmtId="0" fontId="17" fillId="0" borderId="10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top" wrapText="1"/>
    </xf>
    <xf numFmtId="0" fontId="17" fillId="0" borderId="18" xfId="0" applyFont="1" applyBorder="1" applyAlignment="1" applyProtection="1">
      <alignment vertical="top" wrapText="1"/>
      <protection locked="0"/>
    </xf>
    <xf numFmtId="0" fontId="17" fillId="0" borderId="18" xfId="0" applyFont="1" applyBorder="1" applyAlignment="1">
      <alignment vertical="top" wrapText="1"/>
    </xf>
    <xf numFmtId="0" fontId="17" fillId="0" borderId="34" xfId="0" applyFont="1" applyBorder="1" applyAlignment="1">
      <alignment vertical="top" wrapText="1"/>
    </xf>
    <xf numFmtId="0" fontId="17" fillId="0" borderId="33" xfId="0" applyFont="1" applyBorder="1" applyAlignment="1">
      <alignment vertical="top" wrapText="1"/>
    </xf>
    <xf numFmtId="0" fontId="17" fillId="0" borderId="35" xfId="0" applyFont="1" applyBorder="1" applyAlignment="1">
      <alignment vertical="top" wrapText="1"/>
    </xf>
    <xf numFmtId="0" fontId="17" fillId="0" borderId="20" xfId="0" applyFont="1" applyBorder="1" applyAlignment="1">
      <alignment vertical="top" wrapText="1"/>
    </xf>
    <xf numFmtId="0" fontId="17" fillId="0" borderId="21" xfId="0" applyFont="1" applyBorder="1" applyAlignment="1">
      <alignment vertical="top" wrapText="1"/>
    </xf>
    <xf numFmtId="0" fontId="17" fillId="0" borderId="36" xfId="0" applyFont="1" applyBorder="1" applyAlignment="1">
      <alignment vertical="top" wrapText="1"/>
    </xf>
    <xf numFmtId="0" fontId="17" fillId="0" borderId="23" xfId="0" applyFont="1" applyBorder="1" applyAlignment="1">
      <alignment vertical="top" wrapText="1"/>
    </xf>
    <xf numFmtId="0" fontId="17" fillId="0" borderId="24" xfId="0" applyFont="1" applyBorder="1" applyAlignment="1">
      <alignment vertical="top" wrapText="1"/>
    </xf>
    <xf numFmtId="0" fontId="17" fillId="0" borderId="37" xfId="0" applyFont="1" applyBorder="1" applyAlignment="1">
      <alignment vertical="top" wrapText="1"/>
    </xf>
    <xf numFmtId="0" fontId="17" fillId="0" borderId="12" xfId="0" applyFont="1" applyBorder="1" applyAlignment="1">
      <alignment vertical="top" wrapText="1"/>
    </xf>
    <xf numFmtId="0" fontId="17" fillId="0" borderId="0" xfId="0" applyFont="1" applyAlignment="1" applyProtection="1">
      <alignment horizontal="center" vertical="top" wrapText="1"/>
      <protection locked="0"/>
    </xf>
    <xf numFmtId="0" fontId="17" fillId="0" borderId="0" xfId="0" applyFont="1" applyAlignment="1" applyProtection="1">
      <alignment vertical="top" wrapText="1"/>
      <protection locked="0"/>
    </xf>
    <xf numFmtId="0" fontId="0" fillId="0" borderId="0" xfId="0" applyAlignment="1">
      <alignment vertical="top"/>
    </xf>
    <xf numFmtId="0" fontId="17" fillId="0" borderId="18" xfId="0" applyFont="1" applyBorder="1" applyAlignment="1" applyProtection="1">
      <alignment horizontal="left" vertical="center" wrapText="1"/>
      <protection locked="0"/>
    </xf>
    <xf numFmtId="0" fontId="1" fillId="0" borderId="18" xfId="15" applyFont="1" applyBorder="1" applyAlignment="1">
      <alignment horizontal="left" vertical="top" wrapText="1"/>
    </xf>
    <xf numFmtId="0" fontId="1" fillId="0" borderId="18" xfId="0" applyFont="1" applyBorder="1" applyAlignment="1">
      <alignment wrapText="1"/>
    </xf>
    <xf numFmtId="0" fontId="17" fillId="0" borderId="68" xfId="0" applyFont="1" applyBorder="1" applyAlignment="1" applyProtection="1">
      <alignment horizontal="left" vertical="center" wrapText="1"/>
      <protection locked="0"/>
    </xf>
    <xf numFmtId="0" fontId="1" fillId="0" borderId="0" xfId="0" applyFont="1"/>
    <xf numFmtId="0" fontId="28" fillId="0" borderId="18" xfId="0" applyFont="1" applyBorder="1" applyAlignment="1" applyProtection="1">
      <alignment vertical="top" wrapText="1"/>
      <protection locked="0"/>
    </xf>
    <xf numFmtId="0" fontId="17" fillId="0" borderId="18" xfId="15" applyFont="1" applyBorder="1" applyAlignment="1">
      <alignment horizontal="center" vertical="center" wrapText="1"/>
    </xf>
    <xf numFmtId="0" fontId="17" fillId="0" borderId="55" xfId="0" applyFont="1" applyBorder="1" applyAlignment="1" applyProtection="1">
      <alignment horizontal="left" vertical="center" wrapText="1"/>
      <protection locked="0"/>
    </xf>
    <xf numFmtId="0" fontId="1" fillId="0" borderId="18" xfId="0" applyFont="1" applyBorder="1"/>
    <xf numFmtId="0" fontId="1" fillId="0" borderId="18" xfId="15" applyFont="1" applyBorder="1" applyAlignment="1">
      <alignment vertical="center" wrapText="1"/>
    </xf>
    <xf numFmtId="0" fontId="18" fillId="0" borderId="18" xfId="0" applyFont="1" applyBorder="1"/>
    <xf numFmtId="0" fontId="17" fillId="0" borderId="19" xfId="15" applyFont="1" applyBorder="1" applyAlignment="1">
      <alignment horizontal="center" vertical="center" wrapText="1"/>
    </xf>
    <xf numFmtId="0" fontId="19" fillId="0" borderId="59" xfId="15" applyFont="1" applyBorder="1" applyAlignment="1">
      <alignment horizontal="center" vertical="center" wrapText="1"/>
    </xf>
    <xf numFmtId="0" fontId="30" fillId="0" borderId="18" xfId="0" applyFont="1" applyBorder="1" applyAlignment="1">
      <alignment vertical="center"/>
    </xf>
    <xf numFmtId="0" fontId="30" fillId="0" borderId="19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19" fillId="0" borderId="9" xfId="15" applyFont="1" applyBorder="1" applyAlignment="1">
      <alignment vertical="center"/>
    </xf>
    <xf numFmtId="0" fontId="30" fillId="0" borderId="0" xfId="0" applyFont="1" applyAlignment="1">
      <alignment vertical="center"/>
    </xf>
    <xf numFmtId="0" fontId="19" fillId="0" borderId="18" xfId="15" applyFont="1" applyBorder="1" applyAlignment="1">
      <alignment horizontal="left" vertical="center" wrapText="1"/>
    </xf>
    <xf numFmtId="0" fontId="30" fillId="0" borderId="18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7" fillId="0" borderId="38" xfId="0" applyFont="1" applyBorder="1" applyAlignment="1" applyProtection="1">
      <alignment horizontal="left" vertical="top" wrapText="1"/>
      <protection locked="0"/>
    </xf>
    <xf numFmtId="0" fontId="17" fillId="0" borderId="67" xfId="0" applyFont="1" applyBorder="1" applyAlignment="1" applyProtection="1">
      <alignment horizontal="left" vertical="top" wrapText="1"/>
      <protection locked="0"/>
    </xf>
    <xf numFmtId="0" fontId="17" fillId="0" borderId="19" xfId="0" applyFont="1" applyBorder="1" applyAlignment="1" applyProtection="1">
      <alignment horizontal="left" vertical="top" wrapText="1"/>
      <protection locked="0"/>
    </xf>
    <xf numFmtId="0" fontId="17" fillId="0" borderId="55" xfId="0" applyFont="1" applyBorder="1" applyAlignment="1" applyProtection="1">
      <alignment vertical="top" wrapText="1"/>
      <protection locked="0"/>
    </xf>
    <xf numFmtId="0" fontId="17" fillId="0" borderId="0" xfId="0" applyFont="1" applyAlignment="1" applyProtection="1">
      <alignment vertical="center" wrapText="1"/>
      <protection locked="0"/>
    </xf>
    <xf numFmtId="0" fontId="17" fillId="15" borderId="0" xfId="0" applyFont="1" applyFill="1" applyAlignment="1" applyProtection="1">
      <alignment vertical="center" wrapText="1"/>
      <protection locked="0"/>
    </xf>
    <xf numFmtId="0" fontId="19" fillId="7" borderId="10" xfId="15" applyFont="1" applyFill="1" applyBorder="1" applyAlignment="1">
      <alignment vertical="center" wrapText="1"/>
    </xf>
    <xf numFmtId="0" fontId="17" fillId="0" borderId="18" xfId="15" applyFont="1" applyBorder="1" applyAlignment="1">
      <alignment vertical="top" wrapText="1"/>
    </xf>
    <xf numFmtId="0" fontId="17" fillId="0" borderId="10" xfId="15" applyFont="1" applyBorder="1" applyAlignment="1">
      <alignment vertical="top" wrapText="1"/>
    </xf>
    <xf numFmtId="0" fontId="18" fillId="0" borderId="19" xfId="0" applyFont="1" applyBorder="1" applyAlignment="1">
      <alignment vertical="center"/>
    </xf>
    <xf numFmtId="0" fontId="18" fillId="0" borderId="18" xfId="0" applyFont="1" applyBorder="1" applyAlignment="1">
      <alignment vertical="center" wrapText="1"/>
    </xf>
    <xf numFmtId="0" fontId="18" fillId="0" borderId="10" xfId="0" applyFont="1" applyBorder="1" applyAlignment="1">
      <alignment vertical="center"/>
    </xf>
    <xf numFmtId="0" fontId="18" fillId="0" borderId="19" xfId="0" applyFont="1" applyBorder="1" applyAlignment="1">
      <alignment vertical="center" wrapText="1"/>
    </xf>
    <xf numFmtId="0" fontId="1" fillId="0" borderId="4" xfId="15" applyFont="1" applyBorder="1" applyAlignment="1">
      <alignment horizontal="left" vertical="top" wrapText="1"/>
    </xf>
    <xf numFmtId="0" fontId="1" fillId="0" borderId="18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0" fontId="2" fillId="0" borderId="18" xfId="0" applyFont="1" applyBorder="1" applyAlignment="1">
      <alignment wrapText="1"/>
    </xf>
    <xf numFmtId="0" fontId="19" fillId="15" borderId="0" xfId="0" applyFont="1" applyFill="1" applyAlignment="1" applyProtection="1">
      <alignment horizontal="left" vertical="top" wrapText="1"/>
      <protection locked="0"/>
    </xf>
    <xf numFmtId="0" fontId="19" fillId="0" borderId="0" xfId="0" applyFont="1" applyAlignment="1" applyProtection="1">
      <alignment horizontal="left" vertical="top" wrapText="1"/>
      <protection locked="0"/>
    </xf>
    <xf numFmtId="0" fontId="17" fillId="0" borderId="0" xfId="0" applyFont="1" applyAlignment="1" applyProtection="1">
      <alignment horizontal="left" vertical="top" wrapText="1"/>
      <protection locked="0"/>
    </xf>
    <xf numFmtId="0" fontId="1" fillId="0" borderId="10" xfId="0" applyFont="1" applyBorder="1" applyAlignment="1">
      <alignment horizontal="left" wrapText="1"/>
    </xf>
    <xf numFmtId="0" fontId="1" fillId="0" borderId="18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9" xfId="0" applyFont="1" applyBorder="1" applyAlignment="1">
      <alignment horizontal="left" vertical="top" wrapText="1"/>
    </xf>
    <xf numFmtId="0" fontId="18" fillId="0" borderId="19" xfId="0" applyFont="1" applyBorder="1" applyAlignment="1">
      <alignment horizontal="left" vertical="center"/>
    </xf>
    <xf numFmtId="0" fontId="18" fillId="0" borderId="18" xfId="0" applyFont="1" applyBorder="1" applyAlignment="1">
      <alignment vertical="center"/>
    </xf>
    <xf numFmtId="0" fontId="17" fillId="0" borderId="19" xfId="15" applyFont="1" applyBorder="1" applyAlignment="1">
      <alignment vertical="top" wrapText="1"/>
    </xf>
    <xf numFmtId="0" fontId="17" fillId="0" borderId="18" xfId="0" applyFont="1" applyBorder="1"/>
    <xf numFmtId="0" fontId="11" fillId="0" borderId="18" xfId="0" applyFont="1" applyBorder="1"/>
    <xf numFmtId="0" fontId="30" fillId="0" borderId="19" xfId="0" applyFont="1" applyBorder="1" applyAlignment="1">
      <alignment vertical="center"/>
    </xf>
    <xf numFmtId="0" fontId="30" fillId="0" borderId="55" xfId="0" applyFont="1" applyBorder="1" applyAlignment="1">
      <alignment vertical="center"/>
    </xf>
    <xf numFmtId="0" fontId="17" fillId="0" borderId="19" xfId="15" applyFont="1" applyBorder="1" applyAlignment="1">
      <alignment horizontal="center" wrapText="1"/>
    </xf>
    <xf numFmtId="0" fontId="2" fillId="0" borderId="55" xfId="0" applyFont="1" applyBorder="1"/>
    <xf numFmtId="0" fontId="18" fillId="0" borderId="4" xfId="0" applyFont="1" applyBorder="1"/>
    <xf numFmtId="0" fontId="30" fillId="0" borderId="0" xfId="0" applyFont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7" fillId="0" borderId="19" xfId="0" applyFont="1" applyBorder="1" applyAlignment="1" applyProtection="1">
      <alignment horizontal="center" vertical="top" wrapText="1"/>
      <protection locked="0"/>
    </xf>
    <xf numFmtId="0" fontId="17" fillId="0" borderId="55" xfId="0" applyFont="1" applyBorder="1" applyAlignment="1" applyProtection="1">
      <alignment horizontal="center" vertical="top" wrapText="1"/>
      <protection locked="0"/>
    </xf>
    <xf numFmtId="0" fontId="17" fillId="0" borderId="19" xfId="0" applyFont="1" applyBorder="1" applyAlignment="1">
      <alignment horizontal="left" vertical="top" wrapText="1"/>
    </xf>
    <xf numFmtId="0" fontId="17" fillId="0" borderId="55" xfId="0" applyFont="1" applyBorder="1" applyAlignment="1">
      <alignment horizontal="left" vertical="top" wrapText="1"/>
    </xf>
    <xf numFmtId="0" fontId="19" fillId="0" borderId="18" xfId="0" applyFont="1" applyBorder="1" applyAlignment="1" applyProtection="1">
      <alignment horizontal="center" vertical="center" wrapText="1"/>
      <protection locked="0"/>
    </xf>
    <xf numFmtId="0" fontId="17" fillId="0" borderId="19" xfId="0" applyFont="1" applyBorder="1" applyAlignment="1" applyProtection="1">
      <alignment horizontal="center" wrapText="1"/>
      <protection locked="0"/>
    </xf>
    <xf numFmtId="0" fontId="17" fillId="0" borderId="55" xfId="0" applyFont="1" applyBorder="1" applyAlignment="1" applyProtection="1">
      <alignment horizontal="center" wrapText="1"/>
      <protection locked="0"/>
    </xf>
    <xf numFmtId="0" fontId="19" fillId="0" borderId="19" xfId="0" applyFont="1" applyBorder="1" applyAlignment="1" applyProtection="1">
      <alignment horizontal="center" vertical="center" wrapText="1"/>
      <protection locked="0"/>
    </xf>
    <xf numFmtId="0" fontId="19" fillId="0" borderId="68" xfId="0" applyFont="1" applyBorder="1" applyAlignment="1" applyProtection="1">
      <alignment horizontal="center" vertical="center" wrapText="1"/>
      <protection locked="0"/>
    </xf>
    <xf numFmtId="0" fontId="19" fillId="0" borderId="55" xfId="0" applyFont="1" applyBorder="1" applyAlignment="1" applyProtection="1">
      <alignment horizontal="center" vertical="center" wrapText="1"/>
      <protection locked="0"/>
    </xf>
    <xf numFmtId="0" fontId="10" fillId="11" borderId="41" xfId="12" applyNumberFormat="1" applyFont="1" applyFill="1" applyBorder="1" applyAlignment="1" applyProtection="1">
      <alignment horizontal="center" vertical="top" wrapText="1"/>
      <protection locked="0"/>
    </xf>
    <xf numFmtId="0" fontId="10" fillId="11" borderId="45" xfId="12" applyNumberFormat="1" applyFont="1" applyFill="1" applyBorder="1" applyAlignment="1" applyProtection="1">
      <alignment horizontal="center" vertical="top" wrapText="1"/>
      <protection locked="0"/>
    </xf>
    <xf numFmtId="0" fontId="10" fillId="11" borderId="41" xfId="12" applyNumberFormat="1" applyFont="1" applyFill="1" applyBorder="1" applyAlignment="1" applyProtection="1">
      <alignment horizontal="center" vertical="center" wrapText="1"/>
      <protection locked="0"/>
    </xf>
    <xf numFmtId="0" fontId="10" fillId="11" borderId="45" xfId="12" applyNumberFormat="1" applyFont="1" applyFill="1" applyBorder="1" applyAlignment="1" applyProtection="1">
      <alignment horizontal="center" vertical="center" wrapText="1"/>
      <protection locked="0"/>
    </xf>
    <xf numFmtId="0" fontId="10" fillId="11" borderId="27" xfId="12" applyNumberFormat="1" applyFont="1" applyFill="1" applyBorder="1" applyAlignment="1" applyProtection="1">
      <alignment horizontal="center" vertical="center" wrapText="1"/>
      <protection locked="0"/>
    </xf>
    <xf numFmtId="0" fontId="10" fillId="11" borderId="18" xfId="12" applyNumberFormat="1" applyFont="1" applyFill="1" applyBorder="1" applyAlignment="1" applyProtection="1">
      <alignment horizontal="center" vertical="center" wrapText="1"/>
      <protection locked="0"/>
    </xf>
    <xf numFmtId="0" fontId="10" fillId="0" borderId="25" xfId="12" applyNumberFormat="1" applyFont="1" applyBorder="1" applyAlignment="1" applyProtection="1">
      <alignment horizontal="center" vertical="center" wrapText="1"/>
      <protection locked="0"/>
    </xf>
    <xf numFmtId="0" fontId="10" fillId="0" borderId="0" xfId="12" applyNumberFormat="1" applyFont="1" applyAlignment="1" applyProtection="1">
      <alignment horizontal="center" vertical="center" wrapText="1"/>
      <protection locked="0"/>
    </xf>
    <xf numFmtId="0" fontId="10" fillId="11" borderId="3" xfId="12" applyNumberFormat="1" applyFont="1" applyFill="1" applyBorder="1" applyAlignment="1" applyProtection="1">
      <alignment horizontal="center" vertical="center" wrapText="1"/>
      <protection locked="0"/>
    </xf>
    <xf numFmtId="0" fontId="10" fillId="11" borderId="39" xfId="12" applyNumberFormat="1" applyFont="1" applyFill="1" applyBorder="1" applyAlignment="1" applyProtection="1">
      <alignment horizontal="center" vertical="center" wrapText="1"/>
      <protection locked="0"/>
    </xf>
    <xf numFmtId="0" fontId="10" fillId="11" borderId="42" xfId="12" applyNumberFormat="1" applyFont="1" applyFill="1" applyBorder="1" applyAlignment="1" applyProtection="1">
      <alignment horizontal="center" vertical="center" wrapText="1"/>
      <protection locked="0"/>
    </xf>
    <xf numFmtId="0" fontId="10" fillId="11" borderId="39" xfId="12" applyNumberFormat="1" applyFont="1" applyFill="1" applyBorder="1" applyAlignment="1" applyProtection="1">
      <alignment horizontal="center" vertical="top" wrapText="1"/>
      <protection locked="0"/>
    </xf>
    <xf numFmtId="0" fontId="10" fillId="11" borderId="15" xfId="12" applyNumberFormat="1" applyFont="1" applyFill="1" applyBorder="1" applyAlignment="1" applyProtection="1">
      <alignment horizontal="center" vertical="top" wrapText="1"/>
      <protection locked="0"/>
    </xf>
    <xf numFmtId="0" fontId="10" fillId="11" borderId="2" xfId="12" applyNumberFormat="1" applyFont="1" applyFill="1" applyBorder="1" applyAlignment="1" applyProtection="1">
      <alignment horizontal="center" vertical="top" wrapText="1"/>
      <protection locked="0"/>
    </xf>
    <xf numFmtId="0" fontId="10" fillId="11" borderId="15" xfId="12" applyNumberFormat="1" applyFont="1" applyFill="1" applyBorder="1" applyAlignment="1" applyProtection="1">
      <alignment horizontal="center" vertical="center" wrapText="1"/>
      <protection locked="0"/>
    </xf>
    <xf numFmtId="0" fontId="10" fillId="11" borderId="2" xfId="12" applyNumberFormat="1" applyFont="1" applyFill="1" applyBorder="1" applyAlignment="1" applyProtection="1">
      <alignment horizontal="center" vertical="center" wrapText="1"/>
      <protection locked="0"/>
    </xf>
    <xf numFmtId="0" fontId="10" fillId="11" borderId="5" xfId="12" applyNumberFormat="1" applyFont="1" applyFill="1" applyBorder="1" applyAlignment="1" applyProtection="1">
      <alignment horizontal="center" vertical="center" wrapText="1"/>
      <protection locked="0"/>
    </xf>
    <xf numFmtId="0" fontId="10" fillId="11" borderId="69" xfId="12" applyNumberFormat="1" applyFont="1" applyFill="1" applyBorder="1" applyAlignment="1" applyProtection="1">
      <alignment horizontal="center" vertical="center" wrapText="1"/>
      <protection locked="0"/>
    </xf>
    <xf numFmtId="0" fontId="18" fillId="0" borderId="18" xfId="0" applyFont="1" applyBorder="1" applyAlignment="1">
      <alignment horizontal="left" vertical="center" wrapText="1"/>
    </xf>
    <xf numFmtId="0" fontId="17" fillId="0" borderId="18" xfId="15" applyFont="1" applyBorder="1" applyAlignment="1">
      <alignment horizontal="center" vertical="center" wrapText="1"/>
    </xf>
    <xf numFmtId="0" fontId="30" fillId="0" borderId="61" xfId="0" applyFont="1" applyBorder="1" applyAlignment="1">
      <alignment horizontal="center" vertical="center" wrapText="1"/>
    </xf>
    <xf numFmtId="0" fontId="30" fillId="0" borderId="48" xfId="0" applyFont="1" applyBorder="1" applyAlignment="1">
      <alignment horizontal="center" vertical="center" wrapText="1"/>
    </xf>
    <xf numFmtId="0" fontId="30" fillId="0" borderId="44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/>
    </xf>
    <xf numFmtId="0" fontId="30" fillId="0" borderId="68" xfId="0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/>
    </xf>
    <xf numFmtId="0" fontId="18" fillId="0" borderId="68" xfId="0" applyFont="1" applyBorder="1" applyAlignment="1">
      <alignment horizontal="left" wrapText="1"/>
    </xf>
    <xf numFmtId="0" fontId="18" fillId="0" borderId="55" xfId="0" applyFont="1" applyBorder="1" applyAlignment="1">
      <alignment horizontal="left" wrapText="1"/>
    </xf>
    <xf numFmtId="0" fontId="17" fillId="0" borderId="18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/>
    </xf>
    <xf numFmtId="0" fontId="17" fillId="0" borderId="19" xfId="15" applyFont="1" applyBorder="1" applyAlignment="1">
      <alignment horizontal="center" vertical="center" wrapText="1"/>
    </xf>
    <xf numFmtId="0" fontId="17" fillId="0" borderId="55" xfId="15" applyFont="1" applyBorder="1" applyAlignment="1">
      <alignment horizontal="center" vertical="center" wrapText="1"/>
    </xf>
    <xf numFmtId="0" fontId="18" fillId="0" borderId="18" xfId="0" applyFont="1" applyBorder="1" applyAlignment="1">
      <alignment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68" xfId="0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17" fillId="0" borderId="68" xfId="15" applyFont="1" applyBorder="1" applyAlignment="1">
      <alignment horizontal="center" vertical="center" wrapText="1"/>
    </xf>
    <xf numFmtId="0" fontId="18" fillId="0" borderId="19" xfId="0" applyFont="1" applyBorder="1" applyAlignment="1">
      <alignment horizontal="left" vertical="center"/>
    </xf>
    <xf numFmtId="0" fontId="18" fillId="0" borderId="55" xfId="0" applyFont="1" applyBorder="1" applyAlignment="1">
      <alignment horizontal="left" vertical="center"/>
    </xf>
    <xf numFmtId="0" fontId="18" fillId="0" borderId="18" xfId="0" applyFont="1" applyBorder="1" applyAlignment="1">
      <alignment vertical="center"/>
    </xf>
    <xf numFmtId="0" fontId="18" fillId="0" borderId="68" xfId="0" applyFont="1" applyBorder="1" applyAlignment="1">
      <alignment horizontal="left" vertical="center"/>
    </xf>
    <xf numFmtId="0" fontId="17" fillId="0" borderId="19" xfId="15" applyFont="1" applyBorder="1" applyAlignment="1">
      <alignment vertical="top" wrapText="1"/>
    </xf>
    <xf numFmtId="0" fontId="17" fillId="0" borderId="68" xfId="15" applyFont="1" applyBorder="1" applyAlignment="1">
      <alignment vertical="top" wrapText="1"/>
    </xf>
    <xf numFmtId="0" fontId="17" fillId="0" borderId="55" xfId="15" applyFont="1" applyBorder="1" applyAlignment="1">
      <alignment vertical="top" wrapText="1"/>
    </xf>
    <xf numFmtId="0" fontId="19" fillId="0" borderId="61" xfId="15" applyFont="1" applyBorder="1" applyAlignment="1">
      <alignment horizontal="center" vertical="center" wrapText="1"/>
    </xf>
    <xf numFmtId="0" fontId="19" fillId="0" borderId="48" xfId="15" applyFont="1" applyBorder="1" applyAlignment="1">
      <alignment horizontal="center" vertical="center" wrapText="1"/>
    </xf>
    <xf numFmtId="0" fontId="19" fillId="0" borderId="44" xfId="15" applyFont="1" applyBorder="1" applyAlignment="1">
      <alignment horizontal="center" vertical="center" wrapText="1"/>
    </xf>
    <xf numFmtId="0" fontId="19" fillId="0" borderId="59" xfId="15" applyFont="1" applyBorder="1" applyAlignment="1">
      <alignment horizontal="center" vertical="center" wrapText="1"/>
    </xf>
    <xf numFmtId="0" fontId="19" fillId="0" borderId="62" xfId="15" applyFont="1" applyBorder="1" applyAlignment="1">
      <alignment horizontal="center" vertical="center" wrapText="1"/>
    </xf>
    <xf numFmtId="0" fontId="19" fillId="0" borderId="19" xfId="15" applyFont="1" applyBorder="1" applyAlignment="1">
      <alignment horizontal="center" vertical="center" wrapText="1"/>
    </xf>
    <xf numFmtId="0" fontId="19" fillId="0" borderId="55" xfId="15" applyFont="1" applyBorder="1" applyAlignment="1">
      <alignment horizontal="center" vertical="center" wrapText="1"/>
    </xf>
    <xf numFmtId="0" fontId="17" fillId="0" borderId="18" xfId="15" applyFont="1" applyBorder="1" applyAlignment="1">
      <alignment vertical="top" wrapText="1"/>
    </xf>
    <xf numFmtId="0" fontId="17" fillId="0" borderId="18" xfId="15" applyFont="1" applyBorder="1" applyAlignment="1">
      <alignment vertical="center" wrapText="1"/>
    </xf>
    <xf numFmtId="0" fontId="19" fillId="0" borderId="54" xfId="15" applyFont="1" applyBorder="1" applyAlignment="1">
      <alignment horizontal="center" vertical="center" wrapText="1"/>
    </xf>
    <xf numFmtId="0" fontId="17" fillId="0" borderId="60" xfId="15" applyFont="1" applyBorder="1" applyAlignment="1">
      <alignment vertical="center" wrapText="1"/>
    </xf>
    <xf numFmtId="0" fontId="17" fillId="0" borderId="63" xfId="15" applyFont="1" applyBorder="1" applyAlignment="1">
      <alignment vertical="center" wrapText="1"/>
    </xf>
    <xf numFmtId="0" fontId="17" fillId="0" borderId="64" xfId="15" applyFont="1" applyBorder="1" applyAlignment="1">
      <alignment vertical="center" wrapText="1"/>
    </xf>
    <xf numFmtId="0" fontId="18" fillId="0" borderId="19" xfId="0" applyFont="1" applyBorder="1" applyAlignment="1">
      <alignment vertical="center"/>
    </xf>
    <xf numFmtId="0" fontId="18" fillId="0" borderId="68" xfId="0" applyFont="1" applyBorder="1" applyAlignment="1">
      <alignment vertical="center"/>
    </xf>
    <xf numFmtId="0" fontId="18" fillId="0" borderId="55" xfId="0" applyFont="1" applyBorder="1" applyAlignment="1">
      <alignment vertical="center"/>
    </xf>
    <xf numFmtId="0" fontId="18" fillId="0" borderId="19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0" borderId="18" xfId="0" applyFont="1" applyBorder="1" applyAlignment="1">
      <alignment horizontal="left" vertical="center"/>
    </xf>
    <xf numFmtId="0" fontId="17" fillId="0" borderId="19" xfId="0" applyFont="1" applyBorder="1" applyAlignment="1">
      <alignment horizontal="left" vertical="center"/>
    </xf>
    <xf numFmtId="0" fontId="17" fillId="0" borderId="68" xfId="0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/>
    </xf>
    <xf numFmtId="0" fontId="17" fillId="0" borderId="60" xfId="15" applyFont="1" applyBorder="1" applyAlignment="1">
      <alignment vertical="top" wrapText="1"/>
    </xf>
    <xf numFmtId="0" fontId="17" fillId="0" borderId="63" xfId="15" applyFont="1" applyBorder="1" applyAlignment="1">
      <alignment vertical="top" wrapText="1"/>
    </xf>
    <xf numFmtId="0" fontId="17" fillId="0" borderId="64" xfId="15" applyFont="1" applyBorder="1" applyAlignment="1">
      <alignment vertical="top" wrapText="1"/>
    </xf>
    <xf numFmtId="0" fontId="10" fillId="11" borderId="49" xfId="15" applyFont="1" applyFill="1" applyBorder="1" applyAlignment="1">
      <alignment horizontal="left" vertical="center"/>
    </xf>
    <xf numFmtId="0" fontId="10" fillId="11" borderId="9" xfId="15" applyFont="1" applyFill="1" applyBorder="1" applyAlignment="1">
      <alignment horizontal="left" vertical="center"/>
    </xf>
    <xf numFmtId="0" fontId="10" fillId="11" borderId="18" xfId="15" applyFont="1" applyFill="1" applyBorder="1" applyAlignment="1">
      <alignment horizontal="left" vertical="center"/>
    </xf>
    <xf numFmtId="0" fontId="12" fillId="11" borderId="18" xfId="15" applyFont="1" applyFill="1" applyBorder="1" applyAlignment="1">
      <alignment horizontal="left" vertical="center"/>
    </xf>
    <xf numFmtId="0" fontId="19" fillId="7" borderId="50" xfId="15" applyFont="1" applyFill="1" applyBorder="1" applyAlignment="1">
      <alignment horizontal="left" vertical="center"/>
    </xf>
    <xf numFmtId="0" fontId="19" fillId="7" borderId="6" xfId="15" applyFont="1" applyFill="1" applyBorder="1" applyAlignment="1">
      <alignment horizontal="left" vertical="center"/>
    </xf>
    <xf numFmtId="0" fontId="24" fillId="7" borderId="19" xfId="15" applyFont="1" applyFill="1" applyBorder="1" applyAlignment="1">
      <alignment horizontal="left" vertical="center"/>
    </xf>
    <xf numFmtId="0" fontId="17" fillId="7" borderId="19" xfId="15" applyFont="1" applyFill="1" applyBorder="1" applyAlignment="1">
      <alignment horizontal="left" vertical="center"/>
    </xf>
    <xf numFmtId="0" fontId="19" fillId="7" borderId="51" xfId="15" applyFont="1" applyFill="1" applyBorder="1" applyAlignment="1">
      <alignment horizontal="left" vertical="center"/>
    </xf>
    <xf numFmtId="0" fontId="19" fillId="7" borderId="52" xfId="15" applyFont="1" applyFill="1" applyBorder="1" applyAlignment="1">
      <alignment horizontal="left" vertical="center"/>
    </xf>
    <xf numFmtId="0" fontId="24" fillId="7" borderId="53" xfId="15" applyFont="1" applyFill="1" applyBorder="1" applyAlignment="1">
      <alignment horizontal="left" vertical="center"/>
    </xf>
    <xf numFmtId="0" fontId="17" fillId="7" borderId="53" xfId="15" applyFont="1" applyFill="1" applyBorder="1" applyAlignment="1">
      <alignment horizontal="left" vertical="center"/>
    </xf>
    <xf numFmtId="0" fontId="25" fillId="11" borderId="54" xfId="15" applyFont="1" applyFill="1" applyBorder="1" applyAlignment="1">
      <alignment horizontal="center" vertical="center" wrapText="1"/>
    </xf>
    <xf numFmtId="0" fontId="25" fillId="11" borderId="55" xfId="15" applyFont="1" applyFill="1" applyBorder="1" applyAlignment="1">
      <alignment horizontal="center" vertical="center" wrapText="1"/>
    </xf>
    <xf numFmtId="0" fontId="19" fillId="7" borderId="55" xfId="15" applyFont="1" applyFill="1" applyBorder="1" applyAlignment="1">
      <alignment horizontal="center" vertical="center" wrapText="1"/>
    </xf>
    <xf numFmtId="0" fontId="19" fillId="7" borderId="18" xfId="15" applyFont="1" applyFill="1" applyBorder="1" applyAlignment="1">
      <alignment horizontal="center" vertical="center" wrapText="1"/>
    </xf>
    <xf numFmtId="0" fontId="19" fillId="7" borderId="56" xfId="15" applyFont="1" applyFill="1" applyBorder="1" applyAlignment="1">
      <alignment horizontal="center" vertical="center" wrapText="1"/>
    </xf>
    <xf numFmtId="0" fontId="19" fillId="7" borderId="58" xfId="15" applyFont="1" applyFill="1" applyBorder="1" applyAlignment="1">
      <alignment horizontal="center" vertical="center" wrapText="1"/>
    </xf>
    <xf numFmtId="0" fontId="19" fillId="0" borderId="57" xfId="15" applyFont="1" applyBorder="1" applyAlignment="1">
      <alignment horizontal="center" vertical="center" wrapText="1"/>
    </xf>
    <xf numFmtId="0" fontId="17" fillId="0" borderId="60" xfId="15" applyFont="1" applyBorder="1" applyAlignment="1">
      <alignment horizontal="left" vertical="top" wrapText="1"/>
    </xf>
    <xf numFmtId="0" fontId="17" fillId="0" borderId="63" xfId="15" applyFont="1" applyBorder="1" applyAlignment="1">
      <alignment horizontal="left" vertical="top" wrapText="1"/>
    </xf>
    <xf numFmtId="0" fontId="10" fillId="11" borderId="18" xfId="12" applyNumberFormat="1" applyFont="1" applyFill="1" applyBorder="1" applyAlignment="1" applyProtection="1">
      <alignment horizontal="center" vertical="top" wrapText="1"/>
      <protection locked="0"/>
    </xf>
    <xf numFmtId="0" fontId="19" fillId="0" borderId="18" xfId="0" applyFont="1" applyBorder="1" applyAlignment="1" applyProtection="1">
      <alignment horizontal="center" vertical="top" wrapText="1"/>
      <protection locked="0"/>
    </xf>
    <xf numFmtId="0" fontId="17" fillId="0" borderId="18" xfId="0" applyFont="1" applyBorder="1" applyAlignment="1">
      <alignment vertical="top" wrapText="1"/>
    </xf>
    <xf numFmtId="0" fontId="22" fillId="11" borderId="40" xfId="0" applyFont="1" applyFill="1" applyBorder="1" applyAlignment="1">
      <alignment horizontal="center" vertical="center" wrapText="1"/>
    </xf>
    <xf numFmtId="0" fontId="10" fillId="12" borderId="28" xfId="0" applyFont="1" applyFill="1" applyBorder="1" applyAlignment="1">
      <alignment horizontal="center" vertical="center" wrapText="1"/>
    </xf>
    <xf numFmtId="0" fontId="10" fillId="12" borderId="29" xfId="0" applyFont="1" applyFill="1" applyBorder="1" applyAlignment="1">
      <alignment horizontal="center" vertical="center" wrapText="1"/>
    </xf>
    <xf numFmtId="0" fontId="10" fillId="12" borderId="30" xfId="0" applyFont="1" applyFill="1" applyBorder="1" applyAlignment="1">
      <alignment horizontal="center" vertical="center" wrapText="1"/>
    </xf>
    <xf numFmtId="0" fontId="10" fillId="11" borderId="45" xfId="0" applyFont="1" applyFill="1" applyBorder="1" applyAlignment="1">
      <alignment horizontal="center" vertical="center" wrapText="1"/>
    </xf>
    <xf numFmtId="0" fontId="10" fillId="11" borderId="46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1" borderId="47" xfId="0" applyFont="1" applyFill="1" applyBorder="1" applyAlignment="1">
      <alignment horizontal="center" vertical="center" wrapText="1"/>
    </xf>
    <xf numFmtId="0" fontId="10" fillId="12" borderId="10" xfId="0" applyFont="1" applyFill="1" applyBorder="1" applyAlignment="1">
      <alignment horizontal="center" vertical="center" wrapText="1"/>
    </xf>
    <xf numFmtId="0" fontId="10" fillId="12" borderId="9" xfId="0" applyFont="1" applyFill="1" applyBorder="1" applyAlignment="1">
      <alignment horizontal="center"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26" fillId="6" borderId="18" xfId="0" applyFont="1" applyFill="1" applyBorder="1" applyAlignment="1">
      <alignment horizontal="center" vertical="center" textRotation="90" wrapText="1"/>
    </xf>
    <xf numFmtId="0" fontId="19" fillId="0" borderId="18" xfId="0" applyFont="1" applyBorder="1" applyAlignment="1">
      <alignment horizontal="center" vertical="center" textRotation="90"/>
    </xf>
    <xf numFmtId="0" fontId="10" fillId="11" borderId="60" xfId="0" applyFont="1" applyFill="1" applyBorder="1" applyAlignment="1">
      <alignment horizontal="center" vertical="center" wrapText="1"/>
    </xf>
    <xf numFmtId="0" fontId="10" fillId="11" borderId="6" xfId="0" applyFont="1" applyFill="1" applyBorder="1" applyAlignment="1">
      <alignment horizontal="center" vertical="center" wrapText="1"/>
    </xf>
    <xf numFmtId="0" fontId="10" fillId="11" borderId="61" xfId="0" applyFont="1" applyFill="1" applyBorder="1" applyAlignment="1">
      <alignment horizontal="center" vertical="center" wrapText="1"/>
    </xf>
    <xf numFmtId="0" fontId="10" fillId="11" borderId="64" xfId="0" applyFont="1" applyFill="1" applyBorder="1" applyAlignment="1">
      <alignment horizontal="center" vertical="center" wrapText="1"/>
    </xf>
    <xf numFmtId="0" fontId="10" fillId="11" borderId="65" xfId="0" applyFont="1" applyFill="1" applyBorder="1" applyAlignment="1">
      <alignment horizontal="center" vertical="center" wrapText="1"/>
    </xf>
    <xf numFmtId="0" fontId="10" fillId="11" borderId="44" xfId="0" applyFont="1" applyFill="1" applyBorder="1" applyAlignment="1">
      <alignment horizontal="center" vertical="center" wrapText="1"/>
    </xf>
    <xf numFmtId="0" fontId="10" fillId="11" borderId="0" xfId="0" applyFont="1" applyFill="1" applyAlignment="1">
      <alignment horizontal="center" vertical="center" wrapText="1"/>
    </xf>
    <xf numFmtId="0" fontId="10" fillId="11" borderId="6" xfId="0" applyFont="1" applyFill="1" applyBorder="1" applyAlignment="1">
      <alignment horizontal="center" vertical="center" textRotation="88" wrapText="1"/>
    </xf>
    <xf numFmtId="0" fontId="10" fillId="11" borderId="0" xfId="0" applyFont="1" applyFill="1" applyAlignment="1">
      <alignment horizontal="center" vertical="center" textRotation="88" wrapText="1"/>
    </xf>
    <xf numFmtId="0" fontId="0" fillId="0" borderId="0" xfId="0" applyAlignment="1">
      <alignment horizontal="center" vertical="center" wrapText="1"/>
    </xf>
    <xf numFmtId="0" fontId="10" fillId="11" borderId="7" xfId="0" applyFont="1" applyFill="1" applyBorder="1" applyAlignment="1">
      <alignment horizontal="center" vertical="center" wrapText="1"/>
    </xf>
    <xf numFmtId="0" fontId="10" fillId="11" borderId="8" xfId="0" applyFont="1" applyFill="1" applyBorder="1" applyAlignment="1">
      <alignment horizontal="center" vertical="center" wrapText="1"/>
    </xf>
    <xf numFmtId="0" fontId="19" fillId="0" borderId="49" xfId="15" applyFont="1" applyBorder="1" applyAlignment="1">
      <alignment horizontal="center" vertical="center"/>
    </xf>
  </cellXfs>
  <cellStyles count="16">
    <cellStyle name="Alto Neg" xfId="1" xr:uid="{00000000-0005-0000-0000-000000000000}"/>
    <cellStyle name="Baixo Neg" xfId="2" xr:uid="{00000000-0005-0000-0000-000001000000}"/>
    <cellStyle name="Excel Built-in Normal" xfId="3" xr:uid="{00000000-0005-0000-0000-000002000000}"/>
    <cellStyle name="Extremo Neg" xfId="4" xr:uid="{00000000-0005-0000-0000-000003000000}"/>
    <cellStyle name="Hyperlink 3" xfId="13" xr:uid="{00000000-0005-0000-0000-000004000000}"/>
    <cellStyle name="Médio Neg" xfId="5" xr:uid="{00000000-0005-0000-0000-000005000000}"/>
    <cellStyle name="Moeda 2" xfId="11" xr:uid="{00000000-0005-0000-0000-000006000000}"/>
    <cellStyle name="Normal" xfId="0" builtinId="0"/>
    <cellStyle name="Normal - Style1" xfId="15" xr:uid="{F05121D6-209E-4E4C-8BC3-7EE0BCE59D8A}"/>
    <cellStyle name="Normal 10 4" xfId="12" xr:uid="{00000000-0005-0000-0000-000008000000}"/>
    <cellStyle name="Normal 2" xfId="9" xr:uid="{00000000-0005-0000-0000-000009000000}"/>
    <cellStyle name="Normal 2 5 2" xfId="14" xr:uid="{00000000-0005-0000-0000-00000A000000}"/>
    <cellStyle name="Normal 3 2" xfId="10" xr:uid="{00000000-0005-0000-0000-00000B000000}"/>
    <cellStyle name="Sem título1" xfId="6" xr:uid="{00000000-0005-0000-0000-00000C000000}"/>
    <cellStyle name="Sem título2" xfId="7" xr:uid="{00000000-0005-0000-0000-00000D000000}"/>
    <cellStyle name="Separador de milhares 10 2" xfId="8" xr:uid="{00000000-0005-0000-0000-00000E000000}"/>
  </cellStyles>
  <dxfs count="7"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C00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C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50E"/>
      <rgbColor rgb="00FF420E"/>
      <rgbColor rgb="00666699"/>
      <rgbColor rgb="00969696"/>
      <rgbColor rgb="00003366"/>
      <rgbColor rgb="00579D1C"/>
      <rgbColor rgb="00003300"/>
      <rgbColor rgb="00333300"/>
      <rgbColor rgb="00993300"/>
      <rgbColor rgb="00993366"/>
      <rgbColor rgb="00333399"/>
      <rgbColor rgb="00333333"/>
    </indexedColors>
    <mruColors>
      <color rgb="FF008000"/>
      <color rgb="FF00823B"/>
      <color rgb="FF00CC66"/>
      <color rgb="FFFF4343"/>
      <color rgb="FF004600"/>
      <color rgb="FF99CC00"/>
      <color rgb="FFFFE181"/>
      <color rgb="FF003300"/>
      <color rgb="FFEF7857"/>
      <color rgb="FF66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500" b="1">
                <a:solidFill>
                  <a:sysClr val="windowText" lastClr="000000"/>
                </a:solidFill>
                <a:latin typeface="Century Gothic" pitchFamily="34" charset="0"/>
                <a:cs typeface="Arial" panose="020B0604020202020204" pitchFamily="34" charset="0"/>
              </a:rPr>
              <a:t>RISCOS </a:t>
            </a:r>
          </a:p>
        </c:rich>
      </c:tx>
      <c:layout>
        <c:manualLayout>
          <c:xMode val="edge"/>
          <c:yMode val="edge"/>
          <c:x val="0.26120636209764153"/>
          <c:y val="3.698580514531563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7081286507590853E-2"/>
          <c:y val="0.13839778361038205"/>
          <c:w val="0.9123425449976682"/>
          <c:h val="0.7970379032068181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dLbls>
            <c:dLbl>
              <c:idx val="0"/>
              <c:layout>
                <c:manualLayout>
                  <c:x val="-0.18742724879568776"/>
                  <c:y val="4.7698019498298272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sz="900">
                        <a:solidFill>
                          <a:sysClr val="windowText" lastClr="000000"/>
                        </a:solidFill>
                      </a:defRPr>
                    </a:pPr>
                    <a:fld id="{BC9A11E2-0D5E-4AC1-9783-223861D04DB4}" type="CELLRANGE">
                      <a:rPr lang="en-US">
                        <a:solidFill>
                          <a:sysClr val="windowText" lastClr="000000"/>
                        </a:solidFill>
                      </a:rPr>
                      <a:pPr>
                        <a:defRPr sz="900">
                          <a:solidFill>
                            <a:sysClr val="windowText" lastClr="000000"/>
                          </a:solidFill>
                        </a:defRPr>
                      </a:pPr>
                      <a:t>[INTERVALODACÉLULA]</a:t>
                    </a:fld>
                    <a:r>
                      <a:rPr lang="en-US" baseline="0">
                        <a:solidFill>
                          <a:sysClr val="windowText" lastClr="000000"/>
                        </a:solidFill>
                      </a:rPr>
                      <a:t>.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8383229074279507"/>
                      <c:h val="0.1114423117128751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178-0E43-A8FB-2E53615C8BF8}"/>
                </c:ext>
              </c:extLst>
            </c:dLbl>
            <c:dLbl>
              <c:idx val="1"/>
              <c:layout>
                <c:manualLayout>
                  <c:x val="-0.10667894051600522"/>
                  <c:y val="6.3324250078665434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sz="900">
                        <a:solidFill>
                          <a:sysClr val="windowText" lastClr="000000"/>
                        </a:solidFill>
                      </a:defRPr>
                    </a:pPr>
                    <a:fld id="{AAB004CA-F9A4-4204-B2FC-78806407094A}" type="CELLRANGE">
                      <a:rPr lang="en-US" sz="900" baseline="0">
                        <a:solidFill>
                          <a:sysClr val="windowText" lastClr="000000"/>
                        </a:solidFill>
                      </a:rPr>
                      <a:pPr>
                        <a:defRPr sz="900">
                          <a:solidFill>
                            <a:sysClr val="windowText" lastClr="000000"/>
                          </a:solidFill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703966808014107"/>
                      <c:h val="0.1121458869517339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178-0E43-A8FB-2E53615C8BF8}"/>
                </c:ext>
              </c:extLst>
            </c:dLbl>
            <c:dLbl>
              <c:idx val="2"/>
              <c:layout>
                <c:manualLayout>
                  <c:x val="-0.19013066614607305"/>
                  <c:y val="-5.3282572043851208E-2"/>
                </c:manualLayout>
              </c:layout>
              <c:tx>
                <c:rich>
                  <a:bodyPr wrap="square" lIns="38100" tIns="19050" rIns="38100" bIns="19050" anchor="ctr" anchorCtr="0">
                    <a:noAutofit/>
                  </a:bodyPr>
                  <a:lstStyle/>
                  <a:p>
                    <a:pPr algn="ctr" rtl="0">
                      <a:defRPr lang="en-US" sz="9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E626F66-FDF5-46D7-84D3-9081785861D9}" type="CELLRANGE">
                      <a:rPr lang="en-US" sz="900">
                        <a:solidFill>
                          <a:sysClr val="windowText" lastClr="000000"/>
                        </a:solidFill>
                      </a:rPr>
                      <a:pPr algn="ctr" rtl="0">
                        <a:defRPr lang="en-US"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[INTERVALODACÉLULA]</a:t>
                    </a:fld>
                    <a:endParaRPr lang="pt-BR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737150311174861"/>
                      <c:h val="0.1097475400295730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178-0E43-A8FB-2E53615C8BF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4178-0E43-A8FB-2E53615C8BF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4178-0E43-A8FB-2E53615C8BF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4178-0E43-A8FB-2E53615C8BF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4178-0E43-A8FB-2E53615C8BF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4178-0E43-A8FB-2E53615C8BF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4178-0E43-A8FB-2E53615C8BF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4178-0E43-A8FB-2E53615C8BF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4178-0E43-A8FB-2E53615C8BF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4178-0E43-A8FB-2E53615C8BF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4178-0E43-A8FB-2E53615C8BF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4178-0E43-A8FB-2E53615C8BF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4178-0E43-A8FB-2E53615C8BF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4178-0E43-A8FB-2E53615C8BF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4178-0E43-A8FB-2E53615C8BF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4178-0E43-A8FB-2E53615C8BF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4178-0E43-A8FB-2E53615C8BF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4178-0E43-A8FB-2E53615C8BF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4178-0E43-A8FB-2E53615C8BF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4178-0E43-A8FB-2E53615C8BF8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4178-0E43-A8FB-2E53615C8BF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4178-0E43-A8FB-2E53615C8BF8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4178-0E43-A8FB-2E53615C8BF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4178-0E43-A8FB-2E53615C8BF8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4178-0E43-A8FB-2E53615C8BF8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4178-0E43-A8FB-2E53615C8BF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4178-0E43-A8FB-2E53615C8BF8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4178-0E43-A8FB-2E53615C8BF8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4178-0E43-A8FB-2E53615C8BF8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4178-0E43-A8FB-2E53615C8BF8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4178-0E43-A8FB-2E53615C8BF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4178-0E43-A8FB-2E53615C8BF8}"/>
                </c:ext>
              </c:extLst>
            </c:dLbl>
            <c:dLbl>
              <c:idx val="37"/>
              <c:layout>
                <c:manualLayout>
                  <c:x val="-4.3336943616777923E-2"/>
                  <c:y val="7.9824276597403793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4-5380-8847-80B6-44A53BC096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ysClr val="windowText" lastClr="000000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'Análise de riscos '!$O$9:$O$39</c:f>
              <c:numCache>
                <c:formatCode>General</c:formatCode>
                <c:ptCount val="31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3</c:v>
                </c:pt>
                <c:pt idx="27">
                  <c:v>3</c:v>
                </c:pt>
                <c:pt idx="28">
                  <c:v>5</c:v>
                </c:pt>
                <c:pt idx="29">
                  <c:v>1</c:v>
                </c:pt>
                <c:pt idx="30">
                  <c:v>1</c:v>
                </c:pt>
              </c:numCache>
            </c:numRef>
          </c:xVal>
          <c:yVal>
            <c:numRef>
              <c:f>'Análise de riscos '!$S$9:$S$39</c:f>
              <c:numCache>
                <c:formatCode>General</c:formatCode>
                <c:ptCount val="31"/>
                <c:pt idx="0">
                  <c:v>1.5999999999999999</c:v>
                </c:pt>
                <c:pt idx="1">
                  <c:v>2.1999999999999997</c:v>
                </c:pt>
                <c:pt idx="2">
                  <c:v>2.1999999999999997</c:v>
                </c:pt>
                <c:pt idx="3">
                  <c:v>3</c:v>
                </c:pt>
                <c:pt idx="4">
                  <c:v>3</c:v>
                </c:pt>
                <c:pt idx="5">
                  <c:v>1.5999999999999999</c:v>
                </c:pt>
                <c:pt idx="6">
                  <c:v>3.6</c:v>
                </c:pt>
                <c:pt idx="7">
                  <c:v>3.6</c:v>
                </c:pt>
                <c:pt idx="8">
                  <c:v>2.8</c:v>
                </c:pt>
                <c:pt idx="9">
                  <c:v>2.1999999999999997</c:v>
                </c:pt>
                <c:pt idx="10">
                  <c:v>2.1999999999999997</c:v>
                </c:pt>
                <c:pt idx="11">
                  <c:v>2.1999999999999997</c:v>
                </c:pt>
                <c:pt idx="12">
                  <c:v>3</c:v>
                </c:pt>
                <c:pt idx="13">
                  <c:v>2.1999999999999997</c:v>
                </c:pt>
                <c:pt idx="14">
                  <c:v>1.5999999999999999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2.1999999999999997</c:v>
                </c:pt>
                <c:pt idx="19">
                  <c:v>1.5999999999999999</c:v>
                </c:pt>
                <c:pt idx="20">
                  <c:v>1</c:v>
                </c:pt>
                <c:pt idx="21">
                  <c:v>2.1999999999999997</c:v>
                </c:pt>
                <c:pt idx="22">
                  <c:v>1.5999999999999999</c:v>
                </c:pt>
                <c:pt idx="23">
                  <c:v>3</c:v>
                </c:pt>
                <c:pt idx="24">
                  <c:v>2.1999999999999997</c:v>
                </c:pt>
                <c:pt idx="25">
                  <c:v>1</c:v>
                </c:pt>
                <c:pt idx="26">
                  <c:v>1.5999999999999999</c:v>
                </c:pt>
                <c:pt idx="27">
                  <c:v>1.5999999999999999</c:v>
                </c:pt>
                <c:pt idx="28">
                  <c:v>1.5999999999999999</c:v>
                </c:pt>
                <c:pt idx="29">
                  <c:v>1</c:v>
                </c:pt>
                <c:pt idx="3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'Análise de riscos '!$H$9:$H$11</c15:f>
                <c15:dlblRangeCache>
                  <c:ptCount val="3"/>
                  <c:pt idx="0">
                    <c:v>Oferta de cursos desalinhada com as expectativas do mercado (Conteúdo inadequado ou desatualizado; Desenvolvimento de cursos com baixa relevância)</c:v>
                  </c:pt>
                  <c:pt idx="1">
                    <c:v>
Inconsistência no conteúdo e na qualidade
</c:v>
                  </c:pt>
                  <c:pt idx="2">
                    <c:v>Insuficiência  de professores/instrutores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94E0-46B2-8D30-5183713403C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axId val="309152136"/>
        <c:axId val="285612800"/>
      </c:scatterChart>
      <c:valAx>
        <c:axId val="309152136"/>
        <c:scaling>
          <c:orientation val="minMax"/>
          <c:max val="6"/>
          <c:min val="0"/>
        </c:scaling>
        <c:delete val="1"/>
        <c:axPos val="b"/>
        <c:title>
          <c:tx>
            <c:rich>
              <a:bodyPr/>
              <a:lstStyle/>
              <a:p>
                <a:pPr>
                  <a:defRPr sz="1500"/>
                </a:pPr>
                <a:r>
                  <a:rPr lang="pt-BR" sz="1500"/>
                  <a:t>Probabilidade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5612800"/>
        <c:crosses val="autoZero"/>
        <c:crossBetween val="midCat"/>
      </c:valAx>
      <c:valAx>
        <c:axId val="285612800"/>
        <c:scaling>
          <c:orientation val="minMax"/>
          <c:max val="6"/>
          <c:min val="0"/>
        </c:scaling>
        <c:delete val="1"/>
        <c:axPos val="l"/>
        <c:title>
          <c:tx>
            <c:rich>
              <a:bodyPr/>
              <a:lstStyle/>
              <a:p>
                <a:pPr>
                  <a:defRPr sz="1500"/>
                </a:pPr>
                <a:r>
                  <a:rPr lang="pt-BR" sz="1500"/>
                  <a:t>Impacto</a:t>
                </a:r>
              </a:p>
            </c:rich>
          </c:tx>
          <c:layout>
            <c:manualLayout>
              <c:xMode val="edge"/>
              <c:yMode val="edge"/>
              <c:x val="0"/>
              <c:y val="0.4613692038495187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09152136"/>
        <c:crosses val="autoZero"/>
        <c:crossBetween val="midCat"/>
      </c:valAx>
      <c:spPr>
        <a:gradFill flip="none" rotWithShape="1">
          <a:gsLst>
            <a:gs pos="54557">
              <a:srgbClr val="FFFF00"/>
            </a:gs>
            <a:gs pos="93000">
              <a:srgbClr val="FF0000"/>
            </a:gs>
            <a:gs pos="100000">
              <a:srgbClr val="FF0000"/>
            </a:gs>
            <a:gs pos="81000">
              <a:srgbClr val="FF0000"/>
            </a:gs>
            <a:gs pos="67050">
              <a:srgbClr val="FF0000"/>
            </a:gs>
            <a:gs pos="41000">
              <a:srgbClr val="FFFF00"/>
            </a:gs>
            <a:gs pos="62000">
              <a:srgbClr val="FFFF00"/>
            </a:gs>
            <a:gs pos="39000">
              <a:srgbClr val="00B050"/>
            </a:gs>
            <a:gs pos="63000">
              <a:srgbClr val="FFFF00"/>
            </a:gs>
            <a:gs pos="39000">
              <a:srgbClr val="00B050"/>
            </a:gs>
          </a:gsLst>
          <a:lin ang="18000000" scaled="0"/>
          <a:tileRect/>
        </a:gradFill>
        <a:ln cap="rnd">
          <a:solidFill>
            <a:srgbClr val="FF0000"/>
          </a:solidFill>
          <a:beve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30428</xdr:colOff>
      <xdr:row>5</xdr:row>
      <xdr:rowOff>11908</xdr:rowOff>
    </xdr:from>
    <xdr:to>
      <xdr:col>24</xdr:col>
      <xdr:colOff>1012031</xdr:colOff>
      <xdr:row>11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ac0424/INSTITUCIONAL/PRESIDENCIA/DCOMP/GRIS/8_Promover_Melhoria_Cont&#237;nua_da_Gest&#227;o_de_Riscos/Benchmarking/Interno/&#193;reas%20Pesquisadas/SEGES_DPLAN/MRE_em%20branc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ac0424/INSTITUCIONAL/PRESIDENCIA/DCOMP/GRIS/3.1_Gerenciar_Riscos/Projetos/Projeto_BTS/0_Planejamento_do_Piloto/6%20-%20Modelo_FGP_CORREIOS_V75_Piloto_do_M&#233;todo_G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dastro_Fatore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Dado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3"/>
  <dimension ref="A1:Y84"/>
  <sheetViews>
    <sheetView tabSelected="1" topLeftCell="E1" zoomScale="80" zoomScaleNormal="80" workbookViewId="0">
      <pane ySplit="8" topLeftCell="A9" activePane="bottomLeft" state="frozen"/>
      <selection activeCell="N7" sqref="N7"/>
      <selection pane="bottomLeft" activeCell="J63" sqref="J63"/>
    </sheetView>
  </sheetViews>
  <sheetFormatPr defaultColWidth="9.140625" defaultRowHeight="31.9" customHeight="1"/>
  <cols>
    <col min="1" max="1" width="46.42578125" style="100" bestFit="1" customWidth="1"/>
    <col min="2" max="2" width="28.85546875" style="100" bestFit="1" customWidth="1"/>
    <col min="3" max="3" width="76.42578125" style="100" bestFit="1" customWidth="1"/>
    <col min="4" max="4" width="18" style="73" bestFit="1" customWidth="1"/>
    <col min="5" max="5" width="18.7109375" style="67" customWidth="1"/>
    <col min="6" max="6" width="25.5703125" style="67" bestFit="1" customWidth="1"/>
    <col min="7" max="7" width="14.28515625" style="73" bestFit="1" customWidth="1"/>
    <col min="8" max="8" width="37.42578125" style="142" bestFit="1" customWidth="1"/>
    <col min="9" max="9" width="16.28515625" style="74" bestFit="1" customWidth="1"/>
    <col min="10" max="10" width="45.85546875" style="73" bestFit="1" customWidth="1"/>
    <col min="11" max="11" width="70.85546875" style="73" bestFit="1" customWidth="1"/>
    <col min="12" max="12" width="78.85546875" style="127" bestFit="1" customWidth="1"/>
    <col min="13" max="13" width="106.28515625" style="73" bestFit="1" customWidth="1"/>
    <col min="14" max="14" width="44.28515625" style="73" bestFit="1" customWidth="1"/>
    <col min="15" max="15" width="20.5703125" style="74" bestFit="1" customWidth="1"/>
    <col min="16" max="16" width="11.5703125" style="67" bestFit="1" customWidth="1"/>
    <col min="17" max="17" width="7.7109375" style="67" bestFit="1" customWidth="1"/>
    <col min="18" max="18" width="15.140625" style="67" bestFit="1" customWidth="1"/>
    <col min="19" max="19" width="23.5703125" style="75" bestFit="1" customWidth="1"/>
    <col min="20" max="20" width="20.5703125" style="74" bestFit="1" customWidth="1"/>
    <col min="21" max="21" width="27.28515625" style="74" bestFit="1" customWidth="1"/>
    <col min="22" max="22" width="26" style="74" customWidth="1"/>
    <col min="23" max="23" width="21.7109375" style="74" customWidth="1"/>
    <col min="24" max="24" width="27.42578125" style="74" customWidth="1"/>
    <col min="25" max="25" width="16.140625" style="74" customWidth="1"/>
    <col min="26" max="16384" width="9.140625" style="73"/>
  </cols>
  <sheetData>
    <row r="1" spans="1:25" ht="15.75" hidden="1">
      <c r="H1" s="140" t="s">
        <v>85</v>
      </c>
    </row>
    <row r="2" spans="1:25" ht="15.75" hidden="1">
      <c r="H2" s="141"/>
      <c r="J2" s="76"/>
      <c r="K2" s="76"/>
      <c r="L2" s="128"/>
      <c r="M2" s="76"/>
      <c r="N2" s="76"/>
      <c r="O2" s="76"/>
      <c r="P2" s="76"/>
      <c r="Q2" s="76"/>
      <c r="R2" s="76"/>
      <c r="S2" s="76"/>
    </row>
    <row r="3" spans="1:25" ht="15.75" hidden="1">
      <c r="H3" s="141"/>
      <c r="O3" s="73"/>
      <c r="P3" s="73"/>
      <c r="Q3" s="73"/>
      <c r="R3" s="73"/>
      <c r="S3" s="73"/>
    </row>
    <row r="4" spans="1:25" ht="15.75" hidden="1">
      <c r="H4" s="141"/>
      <c r="J4" s="76"/>
      <c r="K4" s="76"/>
      <c r="L4" s="128"/>
      <c r="M4" s="76"/>
      <c r="N4" s="76"/>
      <c r="O4" s="76"/>
      <c r="P4" s="76"/>
      <c r="Q4" s="76"/>
      <c r="R4" s="76"/>
      <c r="S4" s="76"/>
    </row>
    <row r="5" spans="1:25" ht="16.5" hidden="1" thickBot="1"/>
    <row r="6" spans="1:25" s="77" customFormat="1" ht="17.25" thickTop="1" thickBot="1">
      <c r="A6" s="170" t="s">
        <v>586</v>
      </c>
      <c r="B6" s="170" t="s">
        <v>129</v>
      </c>
      <c r="C6" s="170" t="s">
        <v>583</v>
      </c>
      <c r="D6" s="172" t="s">
        <v>130</v>
      </c>
      <c r="E6" s="172" t="s">
        <v>211</v>
      </c>
      <c r="F6" s="172" t="s">
        <v>133</v>
      </c>
      <c r="G6" s="172" t="s">
        <v>132</v>
      </c>
      <c r="H6" s="172" t="s">
        <v>13</v>
      </c>
      <c r="I6" s="175" t="s">
        <v>134</v>
      </c>
      <c r="J6" s="175" t="s">
        <v>11</v>
      </c>
      <c r="K6" s="186" t="s">
        <v>131</v>
      </c>
      <c r="L6" s="181" t="s">
        <v>26</v>
      </c>
      <c r="M6" s="179" t="s">
        <v>63</v>
      </c>
      <c r="N6" s="179" t="s">
        <v>62</v>
      </c>
      <c r="O6" s="178" t="s">
        <v>40</v>
      </c>
      <c r="P6" s="178" t="s">
        <v>54</v>
      </c>
      <c r="Q6" s="178"/>
      <c r="R6" s="178"/>
      <c r="S6" s="175" t="s">
        <v>41</v>
      </c>
      <c r="T6" s="180" t="s">
        <v>14</v>
      </c>
      <c r="U6" s="174" t="s">
        <v>10</v>
      </c>
      <c r="V6" s="176"/>
      <c r="W6" s="177"/>
      <c r="X6" s="177"/>
      <c r="Y6" s="177"/>
    </row>
    <row r="7" spans="1:25" s="77" customFormat="1" ht="31.9" customHeight="1" thickTop="1" thickBot="1">
      <c r="A7" s="170"/>
      <c r="B7" s="170"/>
      <c r="C7" s="170"/>
      <c r="D7" s="172"/>
      <c r="E7" s="172"/>
      <c r="F7" s="172"/>
      <c r="G7" s="172"/>
      <c r="H7" s="172"/>
      <c r="I7" s="175"/>
      <c r="J7" s="175"/>
      <c r="K7" s="186"/>
      <c r="L7" s="182"/>
      <c r="M7" s="184"/>
      <c r="N7" s="184"/>
      <c r="O7" s="178"/>
      <c r="P7" s="15" t="s">
        <v>27</v>
      </c>
      <c r="Q7" s="15" t="s">
        <v>35</v>
      </c>
      <c r="R7" s="16" t="s">
        <v>28</v>
      </c>
      <c r="S7" s="175"/>
      <c r="T7" s="180"/>
      <c r="U7" s="174"/>
      <c r="V7" s="176"/>
      <c r="W7" s="177"/>
      <c r="X7" s="177"/>
      <c r="Y7" s="177"/>
    </row>
    <row r="8" spans="1:25" s="77" customFormat="1" ht="14.25" customHeight="1" thickTop="1" thickBot="1">
      <c r="A8" s="171"/>
      <c r="B8" s="171"/>
      <c r="C8" s="171"/>
      <c r="D8" s="173"/>
      <c r="E8" s="173"/>
      <c r="F8" s="173"/>
      <c r="G8" s="172"/>
      <c r="H8" s="172"/>
      <c r="I8" s="175"/>
      <c r="J8" s="175"/>
      <c r="K8" s="187"/>
      <c r="L8" s="183"/>
      <c r="M8" s="185"/>
      <c r="N8" s="185"/>
      <c r="O8" s="179"/>
      <c r="P8" s="69">
        <v>0.4</v>
      </c>
      <c r="Q8" s="69">
        <v>0.3</v>
      </c>
      <c r="R8" s="17">
        <v>0.3</v>
      </c>
      <c r="S8" s="175"/>
      <c r="T8" s="180"/>
      <c r="U8" s="174"/>
      <c r="V8" s="176"/>
      <c r="W8" s="177"/>
      <c r="X8" s="177"/>
      <c r="Y8" s="177"/>
    </row>
    <row r="9" spans="1:25" ht="111.75" thickTop="1" thickBot="1">
      <c r="A9" s="87" t="s">
        <v>585</v>
      </c>
      <c r="B9" s="87"/>
      <c r="C9" s="87" t="s">
        <v>561</v>
      </c>
      <c r="D9" s="78"/>
      <c r="E9" s="167" t="s">
        <v>137</v>
      </c>
      <c r="F9" s="167" t="s">
        <v>138</v>
      </c>
      <c r="G9" s="78"/>
      <c r="H9" s="80" t="s">
        <v>213</v>
      </c>
      <c r="I9" s="72" t="s">
        <v>135</v>
      </c>
      <c r="J9" s="88" t="s">
        <v>128</v>
      </c>
      <c r="K9" s="88" t="s">
        <v>210</v>
      </c>
      <c r="L9" s="123" t="s">
        <v>483</v>
      </c>
      <c r="M9" s="18" t="s">
        <v>61</v>
      </c>
      <c r="N9" s="83" t="s">
        <v>52</v>
      </c>
      <c r="O9" s="35">
        <v>3</v>
      </c>
      <c r="P9" s="35">
        <v>1</v>
      </c>
      <c r="Q9" s="35">
        <v>3</v>
      </c>
      <c r="R9" s="66">
        <v>1</v>
      </c>
      <c r="S9" s="19">
        <f>(P9*$P$8+Q9*$Q$8+R9*$R$8)</f>
        <v>1.5999999999999999</v>
      </c>
      <c r="T9" s="20">
        <f t="shared" ref="T9:T72" si="0">O9*S9</f>
        <v>4.8</v>
      </c>
      <c r="U9" s="21" t="str">
        <f>IF(T9&lt;5,"Risco Baixo",IF(AND(T9&gt;=5,T9&lt;15),"Risco Médio",IF(AND(T9&gt;=15),"Risco Alto")))</f>
        <v>Risco Baixo</v>
      </c>
      <c r="V9" s="176"/>
      <c r="W9" s="177"/>
      <c r="X9" s="177"/>
      <c r="Y9" s="177"/>
    </row>
    <row r="10" spans="1:25" ht="96" thickTop="1" thickBot="1">
      <c r="A10" s="87" t="s">
        <v>587</v>
      </c>
      <c r="B10" s="87"/>
      <c r="C10" s="87" t="s">
        <v>562</v>
      </c>
      <c r="D10" s="78"/>
      <c r="E10" s="168"/>
      <c r="F10" s="168"/>
      <c r="G10" s="78"/>
      <c r="H10" s="80" t="s">
        <v>212</v>
      </c>
      <c r="I10" s="72" t="s">
        <v>135</v>
      </c>
      <c r="J10" s="88" t="s">
        <v>214</v>
      </c>
      <c r="K10" s="88" t="s">
        <v>215</v>
      </c>
      <c r="L10" s="124" t="s">
        <v>486</v>
      </c>
      <c r="M10" s="83" t="s">
        <v>61</v>
      </c>
      <c r="N10" s="102" t="s">
        <v>52</v>
      </c>
      <c r="O10" s="35">
        <v>1</v>
      </c>
      <c r="P10" s="35">
        <v>1</v>
      </c>
      <c r="Q10" s="35">
        <v>5</v>
      </c>
      <c r="R10" s="67">
        <v>1</v>
      </c>
      <c r="S10" s="19">
        <f t="shared" ref="S10:S72" si="1">(P10*$P$8+Q10*$Q$8+R10*$R$8)</f>
        <v>2.1999999999999997</v>
      </c>
      <c r="T10" s="20">
        <f t="shared" si="0"/>
        <v>2.1999999999999997</v>
      </c>
      <c r="U10" s="21" t="str">
        <f t="shared" ref="U10:U72" si="2">IF(T10&lt;5,"Risco Baixo",IF(AND(T10&gt;=5,T10&lt;15),"Risco Médio",IF(AND(T10&gt;=15),"Risco Alto")))</f>
        <v>Risco Baixo</v>
      </c>
      <c r="V10" s="176"/>
      <c r="W10" s="177"/>
      <c r="X10" s="177"/>
      <c r="Y10" s="177"/>
    </row>
    <row r="11" spans="1:25" s="78" customFormat="1" ht="143.25" thickTop="1" thickBot="1">
      <c r="A11" s="87" t="s">
        <v>588</v>
      </c>
      <c r="B11" s="87"/>
      <c r="C11" s="87" t="s">
        <v>563</v>
      </c>
      <c r="E11" s="168"/>
      <c r="F11" s="168"/>
      <c r="H11" s="80" t="s">
        <v>216</v>
      </c>
      <c r="I11" s="72" t="s">
        <v>135</v>
      </c>
      <c r="J11" s="71" t="s">
        <v>94</v>
      </c>
      <c r="K11" s="81" t="s">
        <v>217</v>
      </c>
      <c r="L11" s="125" t="s">
        <v>495</v>
      </c>
      <c r="M11" s="102" t="s">
        <v>61</v>
      </c>
      <c r="N11" s="102" t="s">
        <v>52</v>
      </c>
      <c r="O11" s="84">
        <v>3</v>
      </c>
      <c r="P11" s="35">
        <v>1</v>
      </c>
      <c r="Q11" s="35">
        <v>5</v>
      </c>
      <c r="R11" s="68">
        <v>1</v>
      </c>
      <c r="S11" s="19">
        <f t="shared" si="1"/>
        <v>2.1999999999999997</v>
      </c>
      <c r="T11" s="20">
        <f t="shared" si="0"/>
        <v>6.6</v>
      </c>
      <c r="U11" s="21" t="str">
        <f t="shared" si="2"/>
        <v>Risco Médio</v>
      </c>
      <c r="V11" s="176"/>
      <c r="W11" s="177"/>
      <c r="X11" s="177"/>
      <c r="Y11" s="177"/>
    </row>
    <row r="12" spans="1:25" ht="253.5" thickTop="1" thickBot="1">
      <c r="A12" s="87" t="s">
        <v>592</v>
      </c>
      <c r="B12" s="87"/>
      <c r="C12" s="87" t="s">
        <v>564</v>
      </c>
      <c r="D12" s="78"/>
      <c r="E12" s="168"/>
      <c r="F12" s="168"/>
      <c r="G12" s="78"/>
      <c r="H12" s="80" t="s">
        <v>126</v>
      </c>
      <c r="I12" s="72" t="s">
        <v>136</v>
      </c>
      <c r="J12" s="65" t="s">
        <v>218</v>
      </c>
      <c r="K12" s="81" t="s">
        <v>93</v>
      </c>
      <c r="L12" s="87" t="s">
        <v>499</v>
      </c>
      <c r="M12" s="105" t="s">
        <v>61</v>
      </c>
      <c r="N12" s="102" t="s">
        <v>52</v>
      </c>
      <c r="O12" s="35">
        <v>1</v>
      </c>
      <c r="P12" s="70">
        <v>3</v>
      </c>
      <c r="Q12" s="70">
        <v>5</v>
      </c>
      <c r="R12" s="35">
        <v>1</v>
      </c>
      <c r="S12" s="19">
        <f t="shared" si="1"/>
        <v>3</v>
      </c>
      <c r="T12" s="20">
        <f t="shared" si="0"/>
        <v>3</v>
      </c>
      <c r="U12" s="21" t="str">
        <f t="shared" si="2"/>
        <v>Risco Baixo</v>
      </c>
    </row>
    <row r="13" spans="1:25" ht="96" thickTop="1" thickBot="1">
      <c r="A13" s="87" t="s">
        <v>589</v>
      </c>
      <c r="B13" s="87"/>
      <c r="C13" s="87" t="s">
        <v>561</v>
      </c>
      <c r="D13" s="78"/>
      <c r="E13" s="168"/>
      <c r="F13" s="168"/>
      <c r="G13" s="78"/>
      <c r="H13" s="80" t="s">
        <v>90</v>
      </c>
      <c r="I13" s="72" t="s">
        <v>135</v>
      </c>
      <c r="J13" s="65" t="s">
        <v>219</v>
      </c>
      <c r="K13" s="146" t="s">
        <v>91</v>
      </c>
      <c r="L13" s="87" t="s">
        <v>533</v>
      </c>
      <c r="M13" s="82" t="s">
        <v>61</v>
      </c>
      <c r="N13" s="102" t="s">
        <v>52</v>
      </c>
      <c r="O13" s="35">
        <v>5</v>
      </c>
      <c r="P13" s="35">
        <v>3</v>
      </c>
      <c r="Q13" s="35">
        <v>5</v>
      </c>
      <c r="R13" s="35">
        <v>1</v>
      </c>
      <c r="S13" s="19">
        <f t="shared" si="1"/>
        <v>3</v>
      </c>
      <c r="T13" s="20">
        <f t="shared" si="0"/>
        <v>15</v>
      </c>
      <c r="U13" s="21" t="str">
        <f t="shared" si="2"/>
        <v>Risco Alto</v>
      </c>
    </row>
    <row r="14" spans="1:25" ht="111.75" thickTop="1" thickBot="1">
      <c r="A14" s="87" t="s">
        <v>585</v>
      </c>
      <c r="B14" s="87"/>
      <c r="C14" s="87" t="s">
        <v>565</v>
      </c>
      <c r="D14" s="78"/>
      <c r="E14" s="168"/>
      <c r="F14" s="168"/>
      <c r="G14" s="78"/>
      <c r="H14" s="80" t="s">
        <v>92</v>
      </c>
      <c r="I14" s="72" t="s">
        <v>135</v>
      </c>
      <c r="J14" s="65" t="s">
        <v>547</v>
      </c>
      <c r="K14" s="65" t="s">
        <v>221</v>
      </c>
      <c r="L14" s="87" t="s">
        <v>548</v>
      </c>
      <c r="M14" s="102" t="s">
        <v>61</v>
      </c>
      <c r="N14" s="102" t="s">
        <v>52</v>
      </c>
      <c r="O14" s="35">
        <v>3</v>
      </c>
      <c r="P14" s="35">
        <v>1</v>
      </c>
      <c r="Q14" s="35">
        <v>3</v>
      </c>
      <c r="R14" s="35">
        <v>1</v>
      </c>
      <c r="S14" s="19">
        <f t="shared" si="1"/>
        <v>1.5999999999999999</v>
      </c>
      <c r="T14" s="20">
        <f t="shared" si="0"/>
        <v>4.8</v>
      </c>
      <c r="U14" s="21" t="str">
        <f t="shared" si="2"/>
        <v>Risco Baixo</v>
      </c>
    </row>
    <row r="15" spans="1:25" ht="33" thickTop="1" thickBot="1">
      <c r="A15" s="87" t="s">
        <v>589</v>
      </c>
      <c r="B15" s="87"/>
      <c r="C15" s="87" t="s">
        <v>566</v>
      </c>
      <c r="D15" s="78"/>
      <c r="E15" s="168"/>
      <c r="F15" s="168"/>
      <c r="G15" s="78"/>
      <c r="H15" s="80" t="s">
        <v>124</v>
      </c>
      <c r="I15" s="72" t="s">
        <v>123</v>
      </c>
      <c r="J15" s="88" t="s">
        <v>116</v>
      </c>
      <c r="K15" s="65" t="s">
        <v>223</v>
      </c>
      <c r="L15" s="87"/>
      <c r="M15" s="102" t="s">
        <v>60</v>
      </c>
      <c r="N15" s="102" t="s">
        <v>51</v>
      </c>
      <c r="O15" s="35">
        <v>1</v>
      </c>
      <c r="P15" s="35">
        <v>3</v>
      </c>
      <c r="Q15" s="35">
        <v>5</v>
      </c>
      <c r="R15" s="35">
        <v>3</v>
      </c>
      <c r="S15" s="19">
        <f t="shared" si="1"/>
        <v>3.6</v>
      </c>
      <c r="T15" s="20">
        <f t="shared" si="0"/>
        <v>3.6</v>
      </c>
      <c r="U15" s="21" t="str">
        <f t="shared" si="2"/>
        <v>Risco Baixo</v>
      </c>
    </row>
    <row r="16" spans="1:25" ht="96" thickTop="1" thickBot="1">
      <c r="A16" s="87" t="s">
        <v>589</v>
      </c>
      <c r="B16" s="87"/>
      <c r="C16" s="87" t="s">
        <v>561</v>
      </c>
      <c r="D16" s="78"/>
      <c r="E16" s="168"/>
      <c r="F16" s="168"/>
      <c r="G16" s="78"/>
      <c r="H16" s="80" t="s">
        <v>222</v>
      </c>
      <c r="I16" s="72" t="s">
        <v>123</v>
      </c>
      <c r="J16" s="88" t="s">
        <v>114</v>
      </c>
      <c r="K16" s="65" t="s">
        <v>115</v>
      </c>
      <c r="L16" s="87" t="s">
        <v>558</v>
      </c>
      <c r="M16" s="102" t="s">
        <v>61</v>
      </c>
      <c r="N16" s="102" t="s">
        <v>52</v>
      </c>
      <c r="O16" s="35">
        <v>1</v>
      </c>
      <c r="P16" s="35">
        <v>3</v>
      </c>
      <c r="Q16" s="35">
        <v>5</v>
      </c>
      <c r="R16" s="35">
        <v>3</v>
      </c>
      <c r="S16" s="19">
        <f t="shared" si="1"/>
        <v>3.6</v>
      </c>
      <c r="T16" s="20">
        <f t="shared" si="0"/>
        <v>3.6</v>
      </c>
      <c r="U16" s="21" t="str">
        <f t="shared" si="2"/>
        <v>Risco Baixo</v>
      </c>
    </row>
    <row r="17" spans="1:21" ht="64.5" thickTop="1" thickBot="1">
      <c r="A17" s="87" t="s">
        <v>598</v>
      </c>
      <c r="B17" s="87"/>
      <c r="C17" s="87" t="s">
        <v>566</v>
      </c>
      <c r="D17" s="78"/>
      <c r="E17" s="169"/>
      <c r="F17" s="169"/>
      <c r="G17" s="78"/>
      <c r="H17" s="80" t="s">
        <v>127</v>
      </c>
      <c r="I17" s="72" t="s">
        <v>123</v>
      </c>
      <c r="J17" s="65" t="s">
        <v>125</v>
      </c>
      <c r="K17" s="65" t="s">
        <v>560</v>
      </c>
      <c r="L17" s="87"/>
      <c r="M17" s="102" t="s">
        <v>60</v>
      </c>
      <c r="N17" s="102" t="s">
        <v>51</v>
      </c>
      <c r="O17" s="35">
        <v>1</v>
      </c>
      <c r="P17" s="35">
        <v>1</v>
      </c>
      <c r="Q17" s="35">
        <v>5</v>
      </c>
      <c r="R17" s="35">
        <v>3</v>
      </c>
      <c r="S17" s="19">
        <f t="shared" si="1"/>
        <v>2.8</v>
      </c>
      <c r="T17" s="20">
        <f t="shared" si="0"/>
        <v>2.8</v>
      </c>
      <c r="U17" s="21" t="str">
        <f t="shared" si="2"/>
        <v>Risco Baixo</v>
      </c>
    </row>
    <row r="18" spans="1:21" ht="96" thickTop="1" thickBot="1">
      <c r="A18" s="87"/>
      <c r="B18" s="87"/>
      <c r="C18" s="87" t="s">
        <v>567</v>
      </c>
      <c r="D18" s="78"/>
      <c r="E18" s="164" t="s">
        <v>139</v>
      </c>
      <c r="F18" s="164" t="s">
        <v>140</v>
      </c>
      <c r="G18" s="78"/>
      <c r="H18" s="80" t="s">
        <v>144</v>
      </c>
      <c r="I18" s="72" t="s">
        <v>136</v>
      </c>
      <c r="J18" s="88" t="s">
        <v>142</v>
      </c>
      <c r="K18" s="65" t="s">
        <v>145</v>
      </c>
      <c r="L18" s="87" t="s">
        <v>399</v>
      </c>
      <c r="M18" s="105" t="s">
        <v>50</v>
      </c>
      <c r="N18" s="109" t="s">
        <v>53</v>
      </c>
      <c r="O18" s="35">
        <v>3</v>
      </c>
      <c r="P18" s="35">
        <v>1</v>
      </c>
      <c r="Q18" s="35">
        <v>3</v>
      </c>
      <c r="R18" s="35">
        <v>3</v>
      </c>
      <c r="S18" s="19">
        <f t="shared" si="1"/>
        <v>2.1999999999999997</v>
      </c>
      <c r="T18" s="20">
        <f t="shared" si="0"/>
        <v>6.6</v>
      </c>
      <c r="U18" s="21" t="str">
        <f t="shared" si="2"/>
        <v>Risco Médio</v>
      </c>
    </row>
    <row r="19" spans="1:21" ht="64.5" thickTop="1" thickBot="1">
      <c r="A19" s="87"/>
      <c r="B19" s="87"/>
      <c r="C19" s="87" t="s">
        <v>568</v>
      </c>
      <c r="D19" s="78"/>
      <c r="E19" s="164"/>
      <c r="F19" s="164"/>
      <c r="G19" s="78"/>
      <c r="H19" s="80" t="s">
        <v>117</v>
      </c>
      <c r="I19" s="72" t="s">
        <v>136</v>
      </c>
      <c r="J19" s="88" t="s">
        <v>96</v>
      </c>
      <c r="K19" s="65" t="s">
        <v>118</v>
      </c>
      <c r="L19" s="87" t="s">
        <v>405</v>
      </c>
      <c r="M19" s="82" t="s">
        <v>50</v>
      </c>
      <c r="N19" s="102" t="s">
        <v>53</v>
      </c>
      <c r="O19" s="35">
        <v>3</v>
      </c>
      <c r="P19" s="35">
        <v>1</v>
      </c>
      <c r="Q19" s="35">
        <v>3</v>
      </c>
      <c r="R19" s="35">
        <v>3</v>
      </c>
      <c r="S19" s="19">
        <f t="shared" si="1"/>
        <v>2.1999999999999997</v>
      </c>
      <c r="T19" s="20">
        <f t="shared" si="0"/>
        <v>6.6</v>
      </c>
      <c r="U19" s="21" t="str">
        <f t="shared" si="2"/>
        <v>Risco Médio</v>
      </c>
    </row>
    <row r="20" spans="1:21" ht="64.5" thickTop="1" thickBot="1">
      <c r="A20" s="87"/>
      <c r="B20" s="87"/>
      <c r="C20" s="87" t="s">
        <v>566</v>
      </c>
      <c r="D20" s="78"/>
      <c r="E20" s="164"/>
      <c r="F20" s="164"/>
      <c r="G20" s="78"/>
      <c r="H20" s="80" t="s">
        <v>98</v>
      </c>
      <c r="I20" s="72" t="s">
        <v>123</v>
      </c>
      <c r="J20" s="88" t="s">
        <v>143</v>
      </c>
      <c r="K20" s="65" t="s">
        <v>97</v>
      </c>
      <c r="L20" s="87" t="s">
        <v>409</v>
      </c>
      <c r="M20" s="82" t="s">
        <v>61</v>
      </c>
      <c r="N20" s="102" t="s">
        <v>52</v>
      </c>
      <c r="O20" s="35">
        <v>3</v>
      </c>
      <c r="P20" s="35">
        <v>1</v>
      </c>
      <c r="Q20" s="35">
        <v>3</v>
      </c>
      <c r="R20" s="35">
        <v>3</v>
      </c>
      <c r="S20" s="19">
        <f t="shared" si="1"/>
        <v>2.1999999999999997</v>
      </c>
      <c r="T20" s="20">
        <f t="shared" si="0"/>
        <v>6.6</v>
      </c>
      <c r="U20" s="21" t="str">
        <f t="shared" si="2"/>
        <v>Risco Médio</v>
      </c>
    </row>
    <row r="21" spans="1:21" ht="363.75" thickTop="1" thickBot="1">
      <c r="A21" s="87" t="s">
        <v>579</v>
      </c>
      <c r="B21" s="87"/>
      <c r="C21" s="87" t="s">
        <v>566</v>
      </c>
      <c r="D21" s="78"/>
      <c r="E21" s="164"/>
      <c r="F21" s="164"/>
      <c r="G21" s="78"/>
      <c r="H21" s="80" t="s">
        <v>119</v>
      </c>
      <c r="I21" s="72" t="s">
        <v>123</v>
      </c>
      <c r="J21" s="88" t="s">
        <v>340</v>
      </c>
      <c r="K21" s="65" t="s">
        <v>339</v>
      </c>
      <c r="L21" s="87" t="s">
        <v>410</v>
      </c>
      <c r="M21" s="82" t="s">
        <v>61</v>
      </c>
      <c r="N21" s="83" t="s">
        <v>52</v>
      </c>
      <c r="O21" s="35">
        <v>3</v>
      </c>
      <c r="P21" s="35">
        <v>3</v>
      </c>
      <c r="Q21" s="35">
        <v>3</v>
      </c>
      <c r="R21" s="35">
        <v>3</v>
      </c>
      <c r="S21" s="19">
        <f t="shared" si="1"/>
        <v>3</v>
      </c>
      <c r="T21" s="20">
        <f t="shared" si="0"/>
        <v>9</v>
      </c>
      <c r="U21" s="21" t="str">
        <f t="shared" si="2"/>
        <v>Risco Médio</v>
      </c>
    </row>
    <row r="22" spans="1:21" ht="64.5" thickTop="1" thickBot="1">
      <c r="A22" s="87"/>
      <c r="B22" s="87"/>
      <c r="C22" s="87" t="s">
        <v>566</v>
      </c>
      <c r="D22" s="78"/>
      <c r="E22" s="164"/>
      <c r="F22" s="164"/>
      <c r="G22" s="78"/>
      <c r="H22" s="80" t="s">
        <v>121</v>
      </c>
      <c r="I22" s="72" t="s">
        <v>141</v>
      </c>
      <c r="J22" s="88" t="s">
        <v>120</v>
      </c>
      <c r="K22" s="65" t="s">
        <v>122</v>
      </c>
      <c r="L22" s="87" t="s">
        <v>411</v>
      </c>
      <c r="M22" s="82" t="s">
        <v>61</v>
      </c>
      <c r="N22" s="102" t="s">
        <v>52</v>
      </c>
      <c r="O22" s="35">
        <v>1</v>
      </c>
      <c r="P22" s="35">
        <v>1</v>
      </c>
      <c r="Q22" s="35">
        <v>3</v>
      </c>
      <c r="R22" s="35">
        <v>3</v>
      </c>
      <c r="S22" s="19">
        <f t="shared" si="1"/>
        <v>2.1999999999999997</v>
      </c>
      <c r="T22" s="20">
        <f t="shared" si="0"/>
        <v>2.1999999999999997</v>
      </c>
      <c r="U22" s="21" t="str">
        <f t="shared" si="2"/>
        <v>Risco Baixo</v>
      </c>
    </row>
    <row r="23" spans="1:21" ht="285" thickTop="1" thickBot="1">
      <c r="A23" s="87"/>
      <c r="B23" s="87"/>
      <c r="C23" s="87" t="s">
        <v>566</v>
      </c>
      <c r="D23" s="78"/>
      <c r="E23" s="167" t="s">
        <v>160</v>
      </c>
      <c r="F23" s="164" t="s">
        <v>307</v>
      </c>
      <c r="G23" s="78"/>
      <c r="H23" s="80" t="s">
        <v>543</v>
      </c>
      <c r="I23" s="72" t="s">
        <v>123</v>
      </c>
      <c r="J23" s="88" t="s">
        <v>352</v>
      </c>
      <c r="K23" s="65" t="s">
        <v>100</v>
      </c>
      <c r="L23" s="87" t="s">
        <v>649</v>
      </c>
      <c r="M23" s="82" t="s">
        <v>61</v>
      </c>
      <c r="N23" s="102" t="s">
        <v>52</v>
      </c>
      <c r="O23" s="35">
        <v>1</v>
      </c>
      <c r="P23" s="35">
        <v>1</v>
      </c>
      <c r="Q23" s="35">
        <v>1</v>
      </c>
      <c r="R23" s="35">
        <v>3</v>
      </c>
      <c r="S23" s="19">
        <f t="shared" si="1"/>
        <v>1.5999999999999999</v>
      </c>
      <c r="T23" s="20">
        <f t="shared" si="0"/>
        <v>1.5999999999999999</v>
      </c>
      <c r="U23" s="21" t="str">
        <f t="shared" si="2"/>
        <v>Risco Baixo</v>
      </c>
    </row>
    <row r="24" spans="1:21" ht="111.75" thickTop="1" thickBot="1">
      <c r="A24" s="87"/>
      <c r="B24" s="87"/>
      <c r="C24" s="87" t="s">
        <v>569</v>
      </c>
      <c r="D24" s="78"/>
      <c r="E24" s="168"/>
      <c r="F24" s="164"/>
      <c r="G24" s="78"/>
      <c r="H24" s="80" t="s">
        <v>95</v>
      </c>
      <c r="I24" s="72" t="s">
        <v>150</v>
      </c>
      <c r="J24" s="88" t="s">
        <v>308</v>
      </c>
      <c r="K24" s="65" t="s">
        <v>155</v>
      </c>
      <c r="L24" s="87" t="s">
        <v>615</v>
      </c>
      <c r="M24" s="82" t="s">
        <v>61</v>
      </c>
      <c r="N24" s="102" t="s">
        <v>52</v>
      </c>
      <c r="O24" s="35">
        <v>1</v>
      </c>
      <c r="P24" s="35">
        <v>1</v>
      </c>
      <c r="Q24" s="35">
        <v>1</v>
      </c>
      <c r="R24" s="35">
        <v>1</v>
      </c>
      <c r="S24" s="19">
        <f t="shared" si="1"/>
        <v>1</v>
      </c>
      <c r="T24" s="20">
        <f t="shared" si="0"/>
        <v>1</v>
      </c>
      <c r="U24" s="21" t="str">
        <f t="shared" si="2"/>
        <v>Risco Baixo</v>
      </c>
    </row>
    <row r="25" spans="1:21" ht="127.5" thickTop="1" thickBot="1">
      <c r="A25" s="87"/>
      <c r="B25" s="87"/>
      <c r="C25" s="87" t="s">
        <v>568</v>
      </c>
      <c r="D25" s="78"/>
      <c r="E25" s="168"/>
      <c r="F25" s="164"/>
      <c r="G25" s="78"/>
      <c r="H25" s="80" t="s">
        <v>146</v>
      </c>
      <c r="I25" s="72" t="s">
        <v>136</v>
      </c>
      <c r="J25" s="88" t="s">
        <v>151</v>
      </c>
      <c r="K25" s="65" t="s">
        <v>604</v>
      </c>
      <c r="L25" s="87" t="s">
        <v>605</v>
      </c>
      <c r="M25" s="82" t="s">
        <v>61</v>
      </c>
      <c r="N25" s="102" t="s">
        <v>52</v>
      </c>
      <c r="O25" s="35">
        <v>1</v>
      </c>
      <c r="P25" s="35">
        <v>1</v>
      </c>
      <c r="Q25" s="35">
        <v>1</v>
      </c>
      <c r="R25" s="35">
        <v>1</v>
      </c>
      <c r="S25" s="19">
        <f t="shared" si="1"/>
        <v>1</v>
      </c>
      <c r="T25" s="20">
        <f t="shared" si="0"/>
        <v>1</v>
      </c>
      <c r="U25" s="21" t="str">
        <f t="shared" si="2"/>
        <v>Risco Baixo</v>
      </c>
    </row>
    <row r="26" spans="1:21" ht="111.75" thickTop="1" thickBot="1">
      <c r="A26" s="87"/>
      <c r="B26" s="87"/>
      <c r="C26" s="87" t="s">
        <v>569</v>
      </c>
      <c r="D26" s="78"/>
      <c r="E26" s="168"/>
      <c r="F26" s="164"/>
      <c r="G26" s="78"/>
      <c r="H26" s="80" t="s">
        <v>101</v>
      </c>
      <c r="I26" s="72" t="s">
        <v>150</v>
      </c>
      <c r="J26" s="88" t="s">
        <v>152</v>
      </c>
      <c r="K26" s="65" t="s">
        <v>102</v>
      </c>
      <c r="L26" s="87" t="s">
        <v>615</v>
      </c>
      <c r="M26" s="82" t="s">
        <v>61</v>
      </c>
      <c r="N26" s="102" t="s">
        <v>52</v>
      </c>
      <c r="O26" s="35">
        <v>1</v>
      </c>
      <c r="P26" s="35">
        <v>1</v>
      </c>
      <c r="Q26" s="35">
        <v>1</v>
      </c>
      <c r="R26" s="35">
        <v>1</v>
      </c>
      <c r="S26" s="19">
        <f t="shared" si="1"/>
        <v>1</v>
      </c>
      <c r="T26" s="20">
        <f t="shared" si="0"/>
        <v>1</v>
      </c>
      <c r="U26" s="21" t="str">
        <f t="shared" si="2"/>
        <v>Risco Baixo</v>
      </c>
    </row>
    <row r="27" spans="1:21" ht="96" thickTop="1" thickBot="1">
      <c r="A27" s="87"/>
      <c r="B27" s="87"/>
      <c r="C27" s="87" t="s">
        <v>566</v>
      </c>
      <c r="D27" s="78"/>
      <c r="E27" s="168"/>
      <c r="F27" s="164"/>
      <c r="G27" s="78"/>
      <c r="H27" s="80" t="s">
        <v>147</v>
      </c>
      <c r="I27" s="72" t="s">
        <v>123</v>
      </c>
      <c r="J27" s="88" t="s">
        <v>153</v>
      </c>
      <c r="K27" s="65" t="s">
        <v>156</v>
      </c>
      <c r="L27" s="87" t="s">
        <v>616</v>
      </c>
      <c r="M27" s="82" t="s">
        <v>61</v>
      </c>
      <c r="N27" s="102" t="s">
        <v>52</v>
      </c>
      <c r="O27" s="35">
        <v>1</v>
      </c>
      <c r="P27" s="35">
        <v>1</v>
      </c>
      <c r="Q27" s="35">
        <v>3</v>
      </c>
      <c r="R27" s="35">
        <v>3</v>
      </c>
      <c r="S27" s="19">
        <f t="shared" si="1"/>
        <v>2.1999999999999997</v>
      </c>
      <c r="T27" s="20">
        <f t="shared" si="0"/>
        <v>2.1999999999999997</v>
      </c>
      <c r="U27" s="21" t="str">
        <f t="shared" si="2"/>
        <v>Risco Baixo</v>
      </c>
    </row>
    <row r="28" spans="1:21" ht="63.6" customHeight="1" thickTop="1" thickBot="1">
      <c r="A28" s="87" t="s">
        <v>594</v>
      </c>
      <c r="B28" s="87"/>
      <c r="C28" s="87" t="s">
        <v>566</v>
      </c>
      <c r="D28" s="78"/>
      <c r="E28" s="168"/>
      <c r="F28" s="164"/>
      <c r="G28" s="78"/>
      <c r="H28" s="80" t="s">
        <v>148</v>
      </c>
      <c r="I28" s="72" t="s">
        <v>123</v>
      </c>
      <c r="J28" s="88" t="s">
        <v>103</v>
      </c>
      <c r="K28" s="65" t="s">
        <v>157</v>
      </c>
      <c r="L28" s="87" t="s">
        <v>622</v>
      </c>
      <c r="M28" s="82" t="s">
        <v>61</v>
      </c>
      <c r="N28" s="102" t="s">
        <v>52</v>
      </c>
      <c r="O28" s="35">
        <v>1</v>
      </c>
      <c r="P28" s="35">
        <v>1</v>
      </c>
      <c r="Q28" s="35">
        <v>1</v>
      </c>
      <c r="R28" s="35">
        <v>3</v>
      </c>
      <c r="S28" s="19">
        <f t="shared" si="1"/>
        <v>1.5999999999999999</v>
      </c>
      <c r="T28" s="20">
        <f t="shared" si="0"/>
        <v>1.5999999999999999</v>
      </c>
      <c r="U28" s="21" t="str">
        <f t="shared" si="2"/>
        <v>Risco Baixo</v>
      </c>
    </row>
    <row r="29" spans="1:21" ht="60.75" customHeight="1" thickTop="1" thickBot="1">
      <c r="A29" s="87" t="s">
        <v>593</v>
      </c>
      <c r="B29" s="87"/>
      <c r="C29" s="87" t="s">
        <v>570</v>
      </c>
      <c r="D29" s="78"/>
      <c r="E29" s="168"/>
      <c r="F29" s="164"/>
      <c r="G29" s="78"/>
      <c r="H29" s="80" t="s">
        <v>105</v>
      </c>
      <c r="I29" s="72" t="s">
        <v>136</v>
      </c>
      <c r="J29" s="88" t="s">
        <v>104</v>
      </c>
      <c r="K29" s="65" t="s">
        <v>106</v>
      </c>
      <c r="L29" s="87" t="s">
        <v>625</v>
      </c>
      <c r="M29" s="82" t="s">
        <v>61</v>
      </c>
      <c r="N29" s="102" t="s">
        <v>52</v>
      </c>
      <c r="O29" s="35">
        <v>1</v>
      </c>
      <c r="P29" s="35">
        <v>1</v>
      </c>
      <c r="Q29" s="35">
        <v>1</v>
      </c>
      <c r="R29" s="35">
        <v>1</v>
      </c>
      <c r="S29" s="19">
        <f t="shared" si="1"/>
        <v>1</v>
      </c>
      <c r="T29" s="20">
        <f t="shared" si="0"/>
        <v>1</v>
      </c>
      <c r="U29" s="21" t="str">
        <f t="shared" si="2"/>
        <v>Risco Baixo</v>
      </c>
    </row>
    <row r="30" spans="1:21" ht="111.75" thickTop="1" thickBot="1">
      <c r="A30" s="87" t="s">
        <v>590</v>
      </c>
      <c r="B30" s="87"/>
      <c r="C30" s="87" t="s">
        <v>571</v>
      </c>
      <c r="D30" s="78"/>
      <c r="E30" s="168"/>
      <c r="F30" s="164"/>
      <c r="G30" s="78"/>
      <c r="H30" s="80" t="s">
        <v>111</v>
      </c>
      <c r="I30" s="72" t="s">
        <v>123</v>
      </c>
      <c r="J30" s="88" t="s">
        <v>110</v>
      </c>
      <c r="K30" s="65" t="s">
        <v>159</v>
      </c>
      <c r="L30" s="87" t="s">
        <v>627</v>
      </c>
      <c r="M30" s="82" t="s">
        <v>61</v>
      </c>
      <c r="N30" s="102" t="s">
        <v>52</v>
      </c>
      <c r="O30" s="35">
        <v>1</v>
      </c>
      <c r="P30" s="35">
        <v>1</v>
      </c>
      <c r="Q30" s="35">
        <v>3</v>
      </c>
      <c r="R30" s="35">
        <v>3</v>
      </c>
      <c r="S30" s="19">
        <f t="shared" si="1"/>
        <v>2.1999999999999997</v>
      </c>
      <c r="T30" s="20">
        <f t="shared" si="0"/>
        <v>2.1999999999999997</v>
      </c>
      <c r="U30" s="21" t="str">
        <f t="shared" si="2"/>
        <v>Risco Baixo</v>
      </c>
    </row>
    <row r="31" spans="1:21" ht="80.25" thickTop="1" thickBot="1">
      <c r="A31" s="87" t="s">
        <v>602</v>
      </c>
      <c r="B31" s="87"/>
      <c r="C31" s="87" t="s">
        <v>568</v>
      </c>
      <c r="D31" s="78"/>
      <c r="E31" s="168"/>
      <c r="F31" s="164"/>
      <c r="G31" s="78"/>
      <c r="H31" s="80" t="s">
        <v>342</v>
      </c>
      <c r="I31" s="72" t="s">
        <v>136</v>
      </c>
      <c r="J31" s="88" t="s">
        <v>341</v>
      </c>
      <c r="K31" s="65" t="s">
        <v>343</v>
      </c>
      <c r="L31" s="87" t="s">
        <v>634</v>
      </c>
      <c r="M31" s="82" t="s">
        <v>61</v>
      </c>
      <c r="N31" s="102" t="s">
        <v>52</v>
      </c>
      <c r="O31" s="35">
        <v>1</v>
      </c>
      <c r="P31" s="35">
        <v>1</v>
      </c>
      <c r="Q31" s="35">
        <v>1</v>
      </c>
      <c r="R31" s="35">
        <v>3</v>
      </c>
      <c r="S31" s="19">
        <f t="shared" si="1"/>
        <v>1.5999999999999999</v>
      </c>
      <c r="T31" s="20">
        <f t="shared" si="0"/>
        <v>1.5999999999999999</v>
      </c>
      <c r="U31" s="21" t="str">
        <f t="shared" si="2"/>
        <v>Risco Baixo</v>
      </c>
    </row>
    <row r="32" spans="1:21" ht="127.5" thickTop="1" thickBot="1">
      <c r="A32" s="87" t="s">
        <v>599</v>
      </c>
      <c r="B32" s="87"/>
      <c r="C32" s="87" t="s">
        <v>566</v>
      </c>
      <c r="D32" s="78"/>
      <c r="E32" s="168"/>
      <c r="F32" s="164"/>
      <c r="G32" s="78"/>
      <c r="H32" s="143" t="s">
        <v>309</v>
      </c>
      <c r="I32" s="144" t="s">
        <v>123</v>
      </c>
      <c r="J32" s="71" t="s">
        <v>108</v>
      </c>
      <c r="K32" s="145" t="s">
        <v>158</v>
      </c>
      <c r="L32" s="87" t="s">
        <v>638</v>
      </c>
      <c r="M32" s="82" t="s">
        <v>61</v>
      </c>
      <c r="N32" s="102" t="s">
        <v>52</v>
      </c>
      <c r="O32" s="35">
        <v>1</v>
      </c>
      <c r="P32" s="35">
        <v>3</v>
      </c>
      <c r="Q32" s="35">
        <v>3</v>
      </c>
      <c r="R32" s="35">
        <v>3</v>
      </c>
      <c r="S32" s="19">
        <f t="shared" si="1"/>
        <v>3</v>
      </c>
      <c r="T32" s="20">
        <f t="shared" si="0"/>
        <v>3</v>
      </c>
      <c r="U32" s="21" t="str">
        <f t="shared" si="2"/>
        <v>Risco Baixo</v>
      </c>
    </row>
    <row r="33" spans="1:21" ht="111.75" thickTop="1" thickBot="1">
      <c r="A33" s="87" t="s">
        <v>597</v>
      </c>
      <c r="B33" s="87"/>
      <c r="C33" s="87" t="s">
        <v>566</v>
      </c>
      <c r="D33" s="78"/>
      <c r="E33" s="168"/>
      <c r="F33" s="164"/>
      <c r="G33" s="78"/>
      <c r="H33" s="80" t="s">
        <v>310</v>
      </c>
      <c r="I33" s="72" t="s">
        <v>123</v>
      </c>
      <c r="J33" s="88" t="s">
        <v>154</v>
      </c>
      <c r="K33" s="65" t="s">
        <v>109</v>
      </c>
      <c r="L33" s="87" t="s">
        <v>671</v>
      </c>
      <c r="M33" s="82" t="s">
        <v>61</v>
      </c>
      <c r="N33" s="102" t="s">
        <v>52</v>
      </c>
      <c r="O33" s="35">
        <v>1</v>
      </c>
      <c r="P33" s="35">
        <v>1</v>
      </c>
      <c r="Q33" s="35">
        <v>3</v>
      </c>
      <c r="R33" s="35">
        <v>3</v>
      </c>
      <c r="S33" s="19">
        <f t="shared" si="1"/>
        <v>2.1999999999999997</v>
      </c>
      <c r="T33" s="20">
        <f t="shared" si="0"/>
        <v>2.1999999999999997</v>
      </c>
      <c r="U33" s="21" t="str">
        <f t="shared" si="2"/>
        <v>Risco Baixo</v>
      </c>
    </row>
    <row r="34" spans="1:21" ht="159" thickTop="1" thickBot="1">
      <c r="A34" s="87"/>
      <c r="B34" s="87"/>
      <c r="C34" s="87" t="s">
        <v>566</v>
      </c>
      <c r="D34" s="78"/>
      <c r="E34" s="168"/>
      <c r="F34" s="164"/>
      <c r="G34" s="78"/>
      <c r="H34" s="80" t="s">
        <v>149</v>
      </c>
      <c r="I34" s="72" t="s">
        <v>135</v>
      </c>
      <c r="J34" s="88" t="s">
        <v>112</v>
      </c>
      <c r="K34" s="65" t="s">
        <v>113</v>
      </c>
      <c r="L34" s="87" t="s">
        <v>672</v>
      </c>
      <c r="M34" s="102" t="s">
        <v>61</v>
      </c>
      <c r="N34" s="102" t="s">
        <v>52</v>
      </c>
      <c r="O34" s="35">
        <v>1</v>
      </c>
      <c r="P34" s="35">
        <v>1</v>
      </c>
      <c r="Q34" s="35">
        <v>1</v>
      </c>
      <c r="R34" s="35">
        <v>1</v>
      </c>
      <c r="S34" s="19">
        <f t="shared" si="1"/>
        <v>1</v>
      </c>
      <c r="T34" s="20">
        <f t="shared" si="0"/>
        <v>1</v>
      </c>
      <c r="U34" s="21" t="str">
        <f t="shared" si="2"/>
        <v>Risco Baixo</v>
      </c>
    </row>
    <row r="35" spans="1:21" ht="80.25" thickTop="1" thickBot="1">
      <c r="A35" s="87" t="s">
        <v>602</v>
      </c>
      <c r="B35" s="87"/>
      <c r="C35" s="87" t="s">
        <v>568</v>
      </c>
      <c r="D35" s="78"/>
      <c r="E35" s="168"/>
      <c r="F35" s="167" t="s">
        <v>161</v>
      </c>
      <c r="G35" s="78"/>
      <c r="H35" s="80" t="s">
        <v>162</v>
      </c>
      <c r="I35" s="79" t="s">
        <v>136</v>
      </c>
      <c r="J35" s="88" t="s">
        <v>311</v>
      </c>
      <c r="K35" s="65" t="s">
        <v>321</v>
      </c>
      <c r="L35" s="87" t="s">
        <v>412</v>
      </c>
      <c r="M35" s="82" t="s">
        <v>61</v>
      </c>
      <c r="N35" s="102" t="s">
        <v>52</v>
      </c>
      <c r="O35" s="35">
        <v>3</v>
      </c>
      <c r="P35" s="35">
        <v>1</v>
      </c>
      <c r="Q35" s="35">
        <v>1</v>
      </c>
      <c r="R35" s="35">
        <v>3</v>
      </c>
      <c r="S35" s="19">
        <f t="shared" si="1"/>
        <v>1.5999999999999999</v>
      </c>
      <c r="T35" s="20">
        <f t="shared" si="0"/>
        <v>4.8</v>
      </c>
      <c r="U35" s="21" t="str">
        <f t="shared" si="2"/>
        <v>Risco Baixo</v>
      </c>
    </row>
    <row r="36" spans="1:21" ht="33" thickTop="1" thickBot="1">
      <c r="A36" s="87" t="s">
        <v>584</v>
      </c>
      <c r="B36" s="87"/>
      <c r="C36" s="87" t="s">
        <v>568</v>
      </c>
      <c r="D36" s="78"/>
      <c r="E36" s="168"/>
      <c r="F36" s="168"/>
      <c r="G36" s="78"/>
      <c r="H36" s="80" t="s">
        <v>163</v>
      </c>
      <c r="I36" s="79" t="s">
        <v>136</v>
      </c>
      <c r="J36" s="88" t="s">
        <v>312</v>
      </c>
      <c r="K36" s="65" t="s">
        <v>170</v>
      </c>
      <c r="L36" s="87" t="s">
        <v>414</v>
      </c>
      <c r="M36" s="82" t="s">
        <v>61</v>
      </c>
      <c r="N36" s="102" t="s">
        <v>52</v>
      </c>
      <c r="O36" s="35">
        <v>3</v>
      </c>
      <c r="P36" s="35">
        <v>1</v>
      </c>
      <c r="Q36" s="35">
        <v>1</v>
      </c>
      <c r="R36" s="35">
        <v>3</v>
      </c>
      <c r="S36" s="19">
        <f t="shared" si="1"/>
        <v>1.5999999999999999</v>
      </c>
      <c r="T36" s="20">
        <f t="shared" si="0"/>
        <v>4.8</v>
      </c>
      <c r="U36" s="21" t="str">
        <f t="shared" si="2"/>
        <v>Risco Baixo</v>
      </c>
    </row>
    <row r="37" spans="1:21" ht="64.5" thickTop="1" thickBot="1">
      <c r="A37" s="87" t="s">
        <v>601</v>
      </c>
      <c r="B37" s="87"/>
      <c r="C37" s="87" t="s">
        <v>568</v>
      </c>
      <c r="D37" s="78"/>
      <c r="E37" s="168"/>
      <c r="F37" s="168"/>
      <c r="G37" s="78"/>
      <c r="H37" s="80" t="s">
        <v>164</v>
      </c>
      <c r="I37" s="79" t="s">
        <v>136</v>
      </c>
      <c r="J37" s="88" t="s">
        <v>313</v>
      </c>
      <c r="K37" s="65" t="s">
        <v>171</v>
      </c>
      <c r="L37" s="87" t="s">
        <v>415</v>
      </c>
      <c r="M37" s="82" t="s">
        <v>61</v>
      </c>
      <c r="N37" s="102" t="s">
        <v>52</v>
      </c>
      <c r="O37" s="35">
        <v>5</v>
      </c>
      <c r="P37" s="35">
        <v>1</v>
      </c>
      <c r="Q37" s="35">
        <v>1</v>
      </c>
      <c r="R37" s="35">
        <v>3</v>
      </c>
      <c r="S37" s="19">
        <f t="shared" si="1"/>
        <v>1.5999999999999999</v>
      </c>
      <c r="T37" s="20">
        <f t="shared" si="0"/>
        <v>7.9999999999999991</v>
      </c>
      <c r="U37" s="21" t="str">
        <f t="shared" si="2"/>
        <v>Risco Médio</v>
      </c>
    </row>
    <row r="38" spans="1:21" ht="159" thickTop="1" thickBot="1">
      <c r="A38" s="87" t="s">
        <v>603</v>
      </c>
      <c r="B38" s="87"/>
      <c r="C38" s="87" t="s">
        <v>566</v>
      </c>
      <c r="D38" s="78"/>
      <c r="E38" s="168"/>
      <c r="F38" s="168"/>
      <c r="G38" s="78"/>
      <c r="H38" s="80" t="s">
        <v>165</v>
      </c>
      <c r="I38" s="79" t="s">
        <v>136</v>
      </c>
      <c r="J38" s="88" t="s">
        <v>314</v>
      </c>
      <c r="K38" s="65" t="s">
        <v>172</v>
      </c>
      <c r="L38" s="87" t="s">
        <v>418</v>
      </c>
      <c r="M38" s="102" t="s">
        <v>61</v>
      </c>
      <c r="N38" s="102" t="s">
        <v>52</v>
      </c>
      <c r="O38" s="35">
        <v>1</v>
      </c>
      <c r="P38" s="35">
        <v>1</v>
      </c>
      <c r="Q38" s="35">
        <v>1</v>
      </c>
      <c r="R38" s="35">
        <v>1</v>
      </c>
      <c r="S38" s="19">
        <f t="shared" si="1"/>
        <v>1</v>
      </c>
      <c r="T38" s="20">
        <f t="shared" si="0"/>
        <v>1</v>
      </c>
      <c r="U38" s="21" t="str">
        <f t="shared" si="2"/>
        <v>Risco Baixo</v>
      </c>
    </row>
    <row r="39" spans="1:21" ht="33" thickTop="1" thickBot="1">
      <c r="A39" s="87" t="s">
        <v>600</v>
      </c>
      <c r="B39" s="87"/>
      <c r="C39" s="87" t="s">
        <v>568</v>
      </c>
      <c r="D39" s="78"/>
      <c r="E39" s="168"/>
      <c r="F39" s="168"/>
      <c r="G39" s="78"/>
      <c r="H39" s="80" t="s">
        <v>166</v>
      </c>
      <c r="I39" s="79" t="s">
        <v>136</v>
      </c>
      <c r="J39" s="88" t="s">
        <v>315</v>
      </c>
      <c r="K39" s="65" t="s">
        <v>173</v>
      </c>
      <c r="L39" s="87" t="s">
        <v>422</v>
      </c>
      <c r="M39" s="102" t="s">
        <v>61</v>
      </c>
      <c r="N39" s="102" t="s">
        <v>52</v>
      </c>
      <c r="O39" s="35">
        <v>1</v>
      </c>
      <c r="P39" s="35">
        <v>1</v>
      </c>
      <c r="Q39" s="35">
        <v>1</v>
      </c>
      <c r="R39" s="35">
        <v>1</v>
      </c>
      <c r="S39" s="19">
        <f t="shared" si="1"/>
        <v>1</v>
      </c>
      <c r="T39" s="20">
        <f t="shared" si="0"/>
        <v>1</v>
      </c>
      <c r="U39" s="21" t="str">
        <f t="shared" si="2"/>
        <v>Risco Baixo</v>
      </c>
    </row>
    <row r="40" spans="1:21" ht="48.75" thickTop="1" thickBot="1">
      <c r="A40" s="87" t="s">
        <v>600</v>
      </c>
      <c r="B40" s="87"/>
      <c r="C40" s="87" t="s">
        <v>566</v>
      </c>
      <c r="D40" s="78"/>
      <c r="E40" s="168"/>
      <c r="F40" s="168"/>
      <c r="G40" s="78"/>
      <c r="H40" s="80" t="s">
        <v>322</v>
      </c>
      <c r="I40" s="79" t="s">
        <v>123</v>
      </c>
      <c r="J40" s="88" t="s">
        <v>316</v>
      </c>
      <c r="K40" s="65" t="s">
        <v>174</v>
      </c>
      <c r="L40" s="87" t="s">
        <v>513</v>
      </c>
      <c r="M40" s="105" t="s">
        <v>61</v>
      </c>
      <c r="N40" s="102" t="s">
        <v>52</v>
      </c>
      <c r="O40" s="35">
        <v>1</v>
      </c>
      <c r="P40" s="35">
        <v>1</v>
      </c>
      <c r="Q40" s="35">
        <v>3</v>
      </c>
      <c r="R40" s="35">
        <v>3</v>
      </c>
      <c r="S40" s="19">
        <f t="shared" si="1"/>
        <v>2.1999999999999997</v>
      </c>
      <c r="T40" s="20">
        <f t="shared" si="0"/>
        <v>2.1999999999999997</v>
      </c>
      <c r="U40" s="21" t="str">
        <f t="shared" si="2"/>
        <v>Risco Baixo</v>
      </c>
    </row>
    <row r="41" spans="1:21" ht="48.75" thickTop="1" thickBot="1">
      <c r="A41" s="87"/>
      <c r="B41" s="87"/>
      <c r="C41" s="87" t="s">
        <v>566</v>
      </c>
      <c r="D41" s="78"/>
      <c r="E41" s="168"/>
      <c r="F41" s="168"/>
      <c r="G41" s="78"/>
      <c r="H41" s="80" t="s">
        <v>167</v>
      </c>
      <c r="I41" s="79" t="s">
        <v>123</v>
      </c>
      <c r="J41" s="88" t="s">
        <v>317</v>
      </c>
      <c r="K41" s="65" t="s">
        <v>175</v>
      </c>
      <c r="L41" s="87" t="s">
        <v>519</v>
      </c>
      <c r="M41" s="82" t="s">
        <v>61</v>
      </c>
      <c r="N41" s="102" t="s">
        <v>52</v>
      </c>
      <c r="O41" s="35">
        <v>1</v>
      </c>
      <c r="P41" s="35">
        <v>1</v>
      </c>
      <c r="Q41" s="35">
        <v>3</v>
      </c>
      <c r="R41" s="35">
        <v>3</v>
      </c>
      <c r="S41" s="19">
        <f t="shared" si="1"/>
        <v>2.1999999999999997</v>
      </c>
      <c r="T41" s="20">
        <f t="shared" si="0"/>
        <v>2.1999999999999997</v>
      </c>
      <c r="U41" s="21" t="str">
        <f t="shared" si="2"/>
        <v>Risco Baixo</v>
      </c>
    </row>
    <row r="42" spans="1:21" ht="64.5" thickTop="1" thickBot="1">
      <c r="A42" s="87" t="s">
        <v>601</v>
      </c>
      <c r="B42" s="87"/>
      <c r="C42" s="87" t="s">
        <v>566</v>
      </c>
      <c r="D42" s="78"/>
      <c r="E42" s="168"/>
      <c r="F42" s="168"/>
      <c r="G42" s="78"/>
      <c r="H42" s="80" t="s">
        <v>323</v>
      </c>
      <c r="I42" s="79" t="s">
        <v>123</v>
      </c>
      <c r="J42" s="88" t="s">
        <v>318</v>
      </c>
      <c r="K42" s="65" t="s">
        <v>176</v>
      </c>
      <c r="L42" s="87" t="s">
        <v>519</v>
      </c>
      <c r="M42" s="82" t="s">
        <v>61</v>
      </c>
      <c r="N42" s="102" t="s">
        <v>52</v>
      </c>
      <c r="O42" s="35">
        <v>1</v>
      </c>
      <c r="P42" s="35">
        <v>1</v>
      </c>
      <c r="Q42" s="35">
        <v>1</v>
      </c>
      <c r="R42" s="35">
        <v>3</v>
      </c>
      <c r="S42" s="19">
        <f t="shared" si="1"/>
        <v>1.5999999999999999</v>
      </c>
      <c r="T42" s="20">
        <f t="shared" si="0"/>
        <v>1.5999999999999999</v>
      </c>
      <c r="U42" s="21" t="str">
        <f t="shared" si="2"/>
        <v>Risco Baixo</v>
      </c>
    </row>
    <row r="43" spans="1:21" ht="31.9" customHeight="1" thickTop="1" thickBot="1">
      <c r="A43" s="87"/>
      <c r="B43" s="87"/>
      <c r="C43" s="87" t="s">
        <v>566</v>
      </c>
      <c r="D43" s="78"/>
      <c r="E43" s="168"/>
      <c r="F43" s="168"/>
      <c r="G43" s="78"/>
      <c r="H43" s="80" t="s">
        <v>168</v>
      </c>
      <c r="I43" s="79" t="s">
        <v>123</v>
      </c>
      <c r="J43" s="88" t="s">
        <v>319</v>
      </c>
      <c r="K43" s="65" t="s">
        <v>177</v>
      </c>
      <c r="L43" s="87" t="s">
        <v>525</v>
      </c>
      <c r="M43" s="82" t="s">
        <v>61</v>
      </c>
      <c r="N43" s="102" t="s">
        <v>52</v>
      </c>
      <c r="O43" s="35">
        <v>1</v>
      </c>
      <c r="P43" s="35">
        <v>1</v>
      </c>
      <c r="Q43" s="35">
        <v>1</v>
      </c>
      <c r="R43" s="35">
        <v>3</v>
      </c>
      <c r="S43" s="19">
        <f t="shared" si="1"/>
        <v>1.5999999999999999</v>
      </c>
      <c r="T43" s="20">
        <f t="shared" si="0"/>
        <v>1.5999999999999999</v>
      </c>
      <c r="U43" s="21" t="str">
        <f t="shared" si="2"/>
        <v>Risco Baixo</v>
      </c>
    </row>
    <row r="44" spans="1:21" ht="64.5" thickTop="1" thickBot="1">
      <c r="A44" s="87"/>
      <c r="B44" s="87"/>
      <c r="C44" s="87" t="s">
        <v>566</v>
      </c>
      <c r="D44" s="78"/>
      <c r="E44" s="169"/>
      <c r="F44" s="168"/>
      <c r="G44" s="78"/>
      <c r="H44" s="80" t="s">
        <v>169</v>
      </c>
      <c r="I44" s="79" t="s">
        <v>123</v>
      </c>
      <c r="J44" s="88" t="s">
        <v>320</v>
      </c>
      <c r="K44" s="65" t="s">
        <v>178</v>
      </c>
      <c r="L44" s="87" t="s">
        <v>527</v>
      </c>
      <c r="M44" s="82" t="s">
        <v>61</v>
      </c>
      <c r="N44" s="102" t="s">
        <v>52</v>
      </c>
      <c r="O44" s="35">
        <v>1</v>
      </c>
      <c r="P44" s="35">
        <v>1</v>
      </c>
      <c r="Q44" s="35">
        <v>1</v>
      </c>
      <c r="R44" s="35">
        <v>1</v>
      </c>
      <c r="S44" s="19">
        <f t="shared" si="1"/>
        <v>1</v>
      </c>
      <c r="T44" s="20">
        <f t="shared" si="0"/>
        <v>1</v>
      </c>
      <c r="U44" s="21" t="str">
        <f t="shared" si="2"/>
        <v>Risco Baixo</v>
      </c>
    </row>
    <row r="45" spans="1:21" ht="48.75" thickTop="1" thickBot="1">
      <c r="A45" s="87"/>
      <c r="B45" s="87"/>
      <c r="C45" s="87" t="s">
        <v>572</v>
      </c>
      <c r="D45" s="78"/>
      <c r="E45" s="167" t="s">
        <v>179</v>
      </c>
      <c r="F45" s="167" t="s">
        <v>324</v>
      </c>
      <c r="G45" s="78"/>
      <c r="H45" s="80" t="s">
        <v>180</v>
      </c>
      <c r="I45" s="79" t="s">
        <v>135</v>
      </c>
      <c r="J45" s="88" t="s">
        <v>184</v>
      </c>
      <c r="K45" s="65" t="s">
        <v>187</v>
      </c>
      <c r="L45" s="87" t="s">
        <v>369</v>
      </c>
      <c r="M45" s="102" t="s">
        <v>50</v>
      </c>
      <c r="N45" s="102" t="s">
        <v>53</v>
      </c>
      <c r="O45" s="35">
        <v>3</v>
      </c>
      <c r="P45" s="35">
        <v>1</v>
      </c>
      <c r="Q45" s="35">
        <v>3</v>
      </c>
      <c r="R45" s="35">
        <v>3</v>
      </c>
      <c r="S45" s="19">
        <f t="shared" si="1"/>
        <v>2.1999999999999997</v>
      </c>
      <c r="T45" s="20">
        <f t="shared" si="0"/>
        <v>6.6</v>
      </c>
      <c r="U45" s="21" t="str">
        <f t="shared" si="2"/>
        <v>Risco Médio</v>
      </c>
    </row>
    <row r="46" spans="1:21" ht="48.75" thickTop="1" thickBot="1">
      <c r="A46" s="87"/>
      <c r="B46" s="87"/>
      <c r="C46" s="87" t="s">
        <v>563</v>
      </c>
      <c r="D46" s="78"/>
      <c r="E46" s="168"/>
      <c r="F46" s="168"/>
      <c r="G46" s="78"/>
      <c r="H46" s="80" t="s">
        <v>181</v>
      </c>
      <c r="I46" s="79" t="s">
        <v>135</v>
      </c>
      <c r="J46" s="88" t="s">
        <v>325</v>
      </c>
      <c r="K46" s="65" t="s">
        <v>546</v>
      </c>
      <c r="L46" s="126" t="s">
        <v>644</v>
      </c>
      <c r="M46" s="102" t="s">
        <v>61</v>
      </c>
      <c r="N46" s="102" t="s">
        <v>52</v>
      </c>
      <c r="O46" s="35">
        <v>3</v>
      </c>
      <c r="P46" s="35">
        <v>1</v>
      </c>
      <c r="Q46" s="35">
        <v>1</v>
      </c>
      <c r="R46" s="35">
        <v>3</v>
      </c>
      <c r="S46" s="19">
        <f t="shared" si="1"/>
        <v>1.5999999999999999</v>
      </c>
      <c r="T46" s="20">
        <f t="shared" si="0"/>
        <v>4.8</v>
      </c>
      <c r="U46" s="21" t="str">
        <f t="shared" si="2"/>
        <v>Risco Baixo</v>
      </c>
    </row>
    <row r="47" spans="1:21" ht="80.25" thickTop="1" thickBot="1">
      <c r="A47" s="87" t="s">
        <v>581</v>
      </c>
      <c r="B47" s="87"/>
      <c r="C47" s="87" t="s">
        <v>563</v>
      </c>
      <c r="D47" s="78"/>
      <c r="E47" s="168"/>
      <c r="F47" s="168"/>
      <c r="G47" s="78"/>
      <c r="H47" s="80" t="s">
        <v>648</v>
      </c>
      <c r="I47" s="79" t="s">
        <v>135</v>
      </c>
      <c r="J47" s="88" t="s">
        <v>185</v>
      </c>
      <c r="K47" s="65" t="s">
        <v>189</v>
      </c>
      <c r="L47" s="87" t="s">
        <v>646</v>
      </c>
      <c r="M47" s="102" t="s">
        <v>61</v>
      </c>
      <c r="N47" s="102" t="s">
        <v>52</v>
      </c>
      <c r="O47" s="35">
        <v>1</v>
      </c>
      <c r="P47" s="35">
        <v>1</v>
      </c>
      <c r="Q47" s="35">
        <v>1</v>
      </c>
      <c r="R47" s="35">
        <v>1</v>
      </c>
      <c r="S47" s="19">
        <f t="shared" si="1"/>
        <v>1</v>
      </c>
      <c r="T47" s="20">
        <f t="shared" si="0"/>
        <v>1</v>
      </c>
      <c r="U47" s="21" t="str">
        <f t="shared" si="2"/>
        <v>Risco Baixo</v>
      </c>
    </row>
    <row r="48" spans="1:21" ht="31.9" customHeight="1" thickTop="1" thickBot="1">
      <c r="A48" s="87"/>
      <c r="B48" s="87"/>
      <c r="C48" s="87" t="s">
        <v>566</v>
      </c>
      <c r="D48" s="78"/>
      <c r="E48" s="168"/>
      <c r="F48" s="168"/>
      <c r="G48" s="78"/>
      <c r="H48" s="80" t="s">
        <v>183</v>
      </c>
      <c r="I48" s="79" t="s">
        <v>123</v>
      </c>
      <c r="J48" s="88" t="s">
        <v>186</v>
      </c>
      <c r="K48" s="65" t="s">
        <v>190</v>
      </c>
      <c r="L48" s="87" t="s">
        <v>647</v>
      </c>
      <c r="M48" s="102" t="s">
        <v>61</v>
      </c>
      <c r="N48" s="102" t="s">
        <v>52</v>
      </c>
      <c r="O48" s="35">
        <v>3</v>
      </c>
      <c r="P48" s="35">
        <v>1</v>
      </c>
      <c r="Q48" s="35">
        <v>1</v>
      </c>
      <c r="R48" s="35">
        <v>3</v>
      </c>
      <c r="S48" s="19">
        <f t="shared" si="1"/>
        <v>1.5999999999999999</v>
      </c>
      <c r="T48" s="20">
        <f t="shared" si="0"/>
        <v>4.8</v>
      </c>
      <c r="U48" s="21" t="str">
        <f t="shared" si="2"/>
        <v>Risco Baixo</v>
      </c>
    </row>
    <row r="49" spans="1:21" ht="48.75" thickTop="1" thickBot="1">
      <c r="A49" s="160" t="s">
        <v>577</v>
      </c>
      <c r="B49" s="160"/>
      <c r="C49" s="160" t="s">
        <v>580</v>
      </c>
      <c r="D49" s="78"/>
      <c r="E49" s="168"/>
      <c r="F49" s="168"/>
      <c r="G49" s="165"/>
      <c r="H49" s="162" t="s">
        <v>326</v>
      </c>
      <c r="I49" s="72" t="s">
        <v>135</v>
      </c>
      <c r="J49" s="88" t="s">
        <v>191</v>
      </c>
      <c r="K49" s="65" t="s">
        <v>193</v>
      </c>
      <c r="L49" s="87" t="s">
        <v>643</v>
      </c>
      <c r="M49" s="102" t="s">
        <v>61</v>
      </c>
      <c r="N49" s="102" t="s">
        <v>52</v>
      </c>
      <c r="O49" s="35">
        <v>1</v>
      </c>
      <c r="P49" s="35">
        <v>1</v>
      </c>
      <c r="Q49" s="35">
        <v>1</v>
      </c>
      <c r="R49" s="35">
        <v>1</v>
      </c>
      <c r="S49" s="19">
        <f t="shared" si="1"/>
        <v>1</v>
      </c>
      <c r="T49" s="20">
        <f t="shared" si="0"/>
        <v>1</v>
      </c>
      <c r="U49" s="21" t="str">
        <f t="shared" si="2"/>
        <v>Risco Baixo</v>
      </c>
    </row>
    <row r="50" spans="1:21" ht="48.75" thickTop="1" thickBot="1">
      <c r="A50" s="161"/>
      <c r="B50" s="161"/>
      <c r="C50" s="161"/>
      <c r="D50" s="78"/>
      <c r="E50" s="168"/>
      <c r="F50" s="168"/>
      <c r="G50" s="166"/>
      <c r="H50" s="163"/>
      <c r="I50" s="72" t="s">
        <v>135</v>
      </c>
      <c r="J50" s="88" t="s">
        <v>192</v>
      </c>
      <c r="K50" s="65" t="s">
        <v>194</v>
      </c>
      <c r="L50" s="87" t="s">
        <v>643</v>
      </c>
      <c r="M50" s="102" t="s">
        <v>61</v>
      </c>
      <c r="N50" s="102" t="s">
        <v>52</v>
      </c>
      <c r="O50" s="35">
        <v>1</v>
      </c>
      <c r="P50" s="35">
        <v>1</v>
      </c>
      <c r="Q50" s="35">
        <v>1</v>
      </c>
      <c r="R50" s="35">
        <v>1</v>
      </c>
      <c r="S50" s="19">
        <f t="shared" si="1"/>
        <v>1</v>
      </c>
      <c r="T50" s="20">
        <f t="shared" si="0"/>
        <v>1</v>
      </c>
      <c r="U50" s="21" t="str">
        <f t="shared" si="2"/>
        <v>Risco Baixo</v>
      </c>
    </row>
    <row r="51" spans="1:21" ht="64.5" thickTop="1" thickBot="1">
      <c r="A51" s="87"/>
      <c r="B51" s="87"/>
      <c r="C51" s="87" t="s">
        <v>571</v>
      </c>
      <c r="D51" s="78"/>
      <c r="E51" s="168"/>
      <c r="F51" s="168"/>
      <c r="G51" s="78"/>
      <c r="H51" s="80" t="s">
        <v>330</v>
      </c>
      <c r="I51" s="72" t="s">
        <v>135</v>
      </c>
      <c r="J51" s="88" t="s">
        <v>331</v>
      </c>
      <c r="K51" s="65" t="s">
        <v>332</v>
      </c>
      <c r="L51" s="87" t="s">
        <v>645</v>
      </c>
      <c r="M51" s="102" t="s">
        <v>61</v>
      </c>
      <c r="N51" s="102" t="s">
        <v>52</v>
      </c>
      <c r="O51" s="35">
        <v>1</v>
      </c>
      <c r="P51" s="35">
        <v>1</v>
      </c>
      <c r="Q51" s="35">
        <v>1</v>
      </c>
      <c r="R51" s="35">
        <v>3</v>
      </c>
      <c r="S51" s="19">
        <f t="shared" si="1"/>
        <v>1.5999999999999999</v>
      </c>
      <c r="T51" s="20">
        <f t="shared" si="0"/>
        <v>1.5999999999999999</v>
      </c>
      <c r="U51" s="21" t="str">
        <f t="shared" si="2"/>
        <v>Risco Baixo</v>
      </c>
    </row>
    <row r="52" spans="1:21" ht="64.5" thickTop="1" thickBot="1">
      <c r="A52" s="87" t="s">
        <v>582</v>
      </c>
      <c r="B52" s="87"/>
      <c r="C52" s="87" t="s">
        <v>571</v>
      </c>
      <c r="D52" s="78"/>
      <c r="E52" s="168"/>
      <c r="F52" s="169"/>
      <c r="G52" s="78"/>
      <c r="H52" s="80" t="s">
        <v>327</v>
      </c>
      <c r="I52" s="72" t="s">
        <v>123</v>
      </c>
      <c r="J52" s="88" t="s">
        <v>534</v>
      </c>
      <c r="K52" s="65" t="s">
        <v>329</v>
      </c>
      <c r="L52" s="87" t="s">
        <v>645</v>
      </c>
      <c r="M52" s="102" t="s">
        <v>61</v>
      </c>
      <c r="N52" s="102" t="s">
        <v>52</v>
      </c>
      <c r="O52" s="35">
        <v>3</v>
      </c>
      <c r="P52" s="35">
        <v>1</v>
      </c>
      <c r="Q52" s="35">
        <v>1</v>
      </c>
      <c r="R52" s="35">
        <v>3</v>
      </c>
      <c r="S52" s="19">
        <f t="shared" si="1"/>
        <v>1.5999999999999999</v>
      </c>
      <c r="T52" s="20">
        <f t="shared" si="0"/>
        <v>4.8</v>
      </c>
      <c r="U52" s="21" t="str">
        <f t="shared" si="2"/>
        <v>Risco Baixo</v>
      </c>
    </row>
    <row r="53" spans="1:21" ht="96" thickTop="1" thickBot="1">
      <c r="A53" s="87" t="s">
        <v>591</v>
      </c>
      <c r="B53" s="87"/>
      <c r="C53" s="87" t="s">
        <v>571</v>
      </c>
      <c r="D53" s="78"/>
      <c r="E53" s="168"/>
      <c r="F53" s="164" t="s">
        <v>195</v>
      </c>
      <c r="G53" s="78"/>
      <c r="H53" s="80" t="s">
        <v>333</v>
      </c>
      <c r="I53" s="86" t="s">
        <v>141</v>
      </c>
      <c r="J53" s="88" t="s">
        <v>199</v>
      </c>
      <c r="K53" s="65" t="s">
        <v>355</v>
      </c>
      <c r="L53" s="87" t="s">
        <v>356</v>
      </c>
      <c r="M53" s="82" t="s">
        <v>61</v>
      </c>
      <c r="N53" s="102" t="s">
        <v>52</v>
      </c>
      <c r="O53" s="35">
        <v>3</v>
      </c>
      <c r="P53" s="35">
        <v>1</v>
      </c>
      <c r="Q53" s="35">
        <v>3</v>
      </c>
      <c r="R53" s="35">
        <v>3</v>
      </c>
      <c r="S53" s="19">
        <f t="shared" si="1"/>
        <v>2.1999999999999997</v>
      </c>
      <c r="T53" s="20">
        <f t="shared" si="0"/>
        <v>6.6</v>
      </c>
      <c r="U53" s="21" t="str">
        <f t="shared" si="2"/>
        <v>Risco Médio</v>
      </c>
    </row>
    <row r="54" spans="1:21" ht="80.25" thickTop="1" thickBot="1">
      <c r="A54" s="87"/>
      <c r="B54" s="87"/>
      <c r="C54" s="87" t="s">
        <v>571</v>
      </c>
      <c r="D54" s="78"/>
      <c r="E54" s="168"/>
      <c r="F54" s="164"/>
      <c r="G54" s="78"/>
      <c r="H54" s="80" t="s">
        <v>196</v>
      </c>
      <c r="I54" s="86" t="s">
        <v>141</v>
      </c>
      <c r="J54" s="88" t="s">
        <v>200</v>
      </c>
      <c r="K54" s="65" t="s">
        <v>203</v>
      </c>
      <c r="L54" s="87" t="s">
        <v>364</v>
      </c>
      <c r="M54" s="102" t="s">
        <v>61</v>
      </c>
      <c r="N54" s="102" t="s">
        <v>52</v>
      </c>
      <c r="O54" s="35">
        <v>1</v>
      </c>
      <c r="P54" s="35">
        <v>1</v>
      </c>
      <c r="Q54" s="35">
        <v>3</v>
      </c>
      <c r="R54" s="35">
        <v>3</v>
      </c>
      <c r="S54" s="19">
        <f t="shared" si="1"/>
        <v>2.1999999999999997</v>
      </c>
      <c r="T54" s="20">
        <f t="shared" si="0"/>
        <v>2.1999999999999997</v>
      </c>
      <c r="U54" s="21" t="str">
        <f t="shared" si="2"/>
        <v>Risco Baixo</v>
      </c>
    </row>
    <row r="55" spans="1:21" ht="80.25" thickTop="1" thickBot="1">
      <c r="A55" s="87"/>
      <c r="B55" s="87"/>
      <c r="C55" s="87" t="s">
        <v>571</v>
      </c>
      <c r="D55" s="78"/>
      <c r="E55" s="168"/>
      <c r="F55" s="164"/>
      <c r="G55" s="78"/>
      <c r="H55" s="80" t="s">
        <v>197</v>
      </c>
      <c r="I55" s="86" t="s">
        <v>141</v>
      </c>
      <c r="J55" s="88" t="s">
        <v>201</v>
      </c>
      <c r="K55" s="65" t="s">
        <v>204</v>
      </c>
      <c r="L55" s="126" t="s">
        <v>364</v>
      </c>
      <c r="M55" s="102" t="s">
        <v>61</v>
      </c>
      <c r="N55" s="102" t="s">
        <v>52</v>
      </c>
      <c r="O55" s="35">
        <v>1</v>
      </c>
      <c r="P55" s="35">
        <v>1</v>
      </c>
      <c r="Q55" s="35">
        <v>3</v>
      </c>
      <c r="R55" s="35">
        <v>3</v>
      </c>
      <c r="S55" s="19">
        <f t="shared" si="1"/>
        <v>2.1999999999999997</v>
      </c>
      <c r="T55" s="20">
        <f t="shared" si="0"/>
        <v>2.1999999999999997</v>
      </c>
      <c r="U55" s="21" t="str">
        <f t="shared" si="2"/>
        <v>Risco Baixo</v>
      </c>
    </row>
    <row r="56" spans="1:21" ht="31.9" customHeight="1" thickTop="1" thickBot="1">
      <c r="A56" s="87"/>
      <c r="B56" s="87"/>
      <c r="C56" s="87" t="s">
        <v>573</v>
      </c>
      <c r="D56" s="78"/>
      <c r="E56" s="168"/>
      <c r="F56" s="164"/>
      <c r="G56" s="78"/>
      <c r="H56" s="80" t="s">
        <v>368</v>
      </c>
      <c r="I56" s="86" t="s">
        <v>135</v>
      </c>
      <c r="J56" s="88" t="s">
        <v>334</v>
      </c>
      <c r="K56" s="65" t="s">
        <v>205</v>
      </c>
      <c r="L56" s="87" t="s">
        <v>664</v>
      </c>
      <c r="M56" s="102" t="s">
        <v>61</v>
      </c>
      <c r="N56" s="102" t="s">
        <v>52</v>
      </c>
      <c r="O56" s="35">
        <v>1</v>
      </c>
      <c r="P56" s="35">
        <v>1</v>
      </c>
      <c r="Q56" s="35">
        <v>3</v>
      </c>
      <c r="R56" s="35">
        <v>3</v>
      </c>
      <c r="S56" s="19">
        <f t="shared" si="1"/>
        <v>2.1999999999999997</v>
      </c>
      <c r="T56" s="20">
        <f t="shared" si="0"/>
        <v>2.1999999999999997</v>
      </c>
      <c r="U56" s="21" t="str">
        <f t="shared" si="2"/>
        <v>Risco Baixo</v>
      </c>
    </row>
    <row r="57" spans="1:21" ht="182.85" customHeight="1" thickTop="1" thickBot="1">
      <c r="A57" s="87"/>
      <c r="B57" s="87"/>
      <c r="C57" s="87" t="s">
        <v>572</v>
      </c>
      <c r="D57" s="78"/>
      <c r="E57" s="168"/>
      <c r="F57" s="164" t="s">
        <v>289</v>
      </c>
      <c r="G57" s="78"/>
      <c r="H57" s="80" t="s">
        <v>335</v>
      </c>
      <c r="I57" s="86" t="s">
        <v>123</v>
      </c>
      <c r="J57" s="88" t="s">
        <v>276</v>
      </c>
      <c r="K57" s="65" t="s">
        <v>300</v>
      </c>
      <c r="L57" s="87" t="s">
        <v>640</v>
      </c>
      <c r="M57" s="102" t="s">
        <v>61</v>
      </c>
      <c r="N57" s="102" t="s">
        <v>52</v>
      </c>
      <c r="O57" s="35">
        <v>3</v>
      </c>
      <c r="P57" s="35">
        <v>1</v>
      </c>
      <c r="Q57" s="35">
        <v>3</v>
      </c>
      <c r="R57" s="35">
        <v>3</v>
      </c>
      <c r="S57" s="19">
        <f t="shared" si="1"/>
        <v>2.1999999999999997</v>
      </c>
      <c r="T57" s="20">
        <f t="shared" si="0"/>
        <v>6.6</v>
      </c>
      <c r="U57" s="21" t="str">
        <f t="shared" si="2"/>
        <v>Risco Médio</v>
      </c>
    </row>
    <row r="58" spans="1:21" ht="96" thickTop="1" thickBot="1">
      <c r="A58" s="87"/>
      <c r="B58" s="87"/>
      <c r="C58" s="87" t="s">
        <v>574</v>
      </c>
      <c r="D58" s="78"/>
      <c r="E58" s="168"/>
      <c r="F58" s="164"/>
      <c r="G58" s="78"/>
      <c r="H58" s="80" t="s">
        <v>283</v>
      </c>
      <c r="I58" s="86" t="s">
        <v>123</v>
      </c>
      <c r="J58" s="88" t="s">
        <v>277</v>
      </c>
      <c r="K58" s="65" t="s">
        <v>301</v>
      </c>
      <c r="L58" s="87" t="s">
        <v>640</v>
      </c>
      <c r="M58" s="102" t="s">
        <v>61</v>
      </c>
      <c r="N58" s="102" t="s">
        <v>52</v>
      </c>
      <c r="O58" s="35">
        <v>3</v>
      </c>
      <c r="P58" s="35">
        <v>1</v>
      </c>
      <c r="Q58" s="35">
        <v>3</v>
      </c>
      <c r="R58" s="35">
        <v>3</v>
      </c>
      <c r="S58" s="19">
        <f t="shared" si="1"/>
        <v>2.1999999999999997</v>
      </c>
      <c r="T58" s="20">
        <f t="shared" si="0"/>
        <v>6.6</v>
      </c>
      <c r="U58" s="21" t="str">
        <f t="shared" si="2"/>
        <v>Risco Médio</v>
      </c>
    </row>
    <row r="59" spans="1:21" ht="96" thickTop="1" thickBot="1">
      <c r="A59" s="87"/>
      <c r="B59" s="87"/>
      <c r="C59" s="87" t="s">
        <v>563</v>
      </c>
      <c r="D59" s="78"/>
      <c r="E59" s="168"/>
      <c r="F59" s="164"/>
      <c r="G59" s="78"/>
      <c r="H59" s="80" t="s">
        <v>284</v>
      </c>
      <c r="I59" s="86" t="s">
        <v>135</v>
      </c>
      <c r="J59" s="88" t="s">
        <v>278</v>
      </c>
      <c r="K59" s="65" t="s">
        <v>302</v>
      </c>
      <c r="L59" s="87" t="s">
        <v>640</v>
      </c>
      <c r="M59" s="102" t="s">
        <v>61</v>
      </c>
      <c r="N59" s="102" t="s">
        <v>52</v>
      </c>
      <c r="O59" s="35">
        <v>3</v>
      </c>
      <c r="P59" s="35">
        <v>1</v>
      </c>
      <c r="Q59" s="35">
        <v>3</v>
      </c>
      <c r="R59" s="35">
        <v>3</v>
      </c>
      <c r="S59" s="19">
        <f t="shared" si="1"/>
        <v>2.1999999999999997</v>
      </c>
      <c r="T59" s="20">
        <f t="shared" si="0"/>
        <v>6.6</v>
      </c>
      <c r="U59" s="21" t="str">
        <f t="shared" si="2"/>
        <v>Risco Médio</v>
      </c>
    </row>
    <row r="60" spans="1:21" ht="96" thickTop="1" thickBot="1">
      <c r="A60" s="87"/>
      <c r="B60" s="87"/>
      <c r="C60" s="87" t="s">
        <v>572</v>
      </c>
      <c r="D60" s="78"/>
      <c r="E60" s="168"/>
      <c r="F60" s="164"/>
      <c r="G60" s="78"/>
      <c r="H60" s="80" t="s">
        <v>285</v>
      </c>
      <c r="I60" s="86" t="s">
        <v>135</v>
      </c>
      <c r="J60" s="88" t="s">
        <v>279</v>
      </c>
      <c r="K60" s="65" t="s">
        <v>303</v>
      </c>
      <c r="L60" s="87" t="s">
        <v>640</v>
      </c>
      <c r="M60" s="102" t="s">
        <v>61</v>
      </c>
      <c r="N60" s="102" t="s">
        <v>52</v>
      </c>
      <c r="O60" s="35">
        <v>3</v>
      </c>
      <c r="P60" s="35">
        <v>1</v>
      </c>
      <c r="Q60" s="35">
        <v>3</v>
      </c>
      <c r="R60" s="35">
        <v>3</v>
      </c>
      <c r="S60" s="19">
        <f t="shared" si="1"/>
        <v>2.1999999999999997</v>
      </c>
      <c r="T60" s="20">
        <f t="shared" si="0"/>
        <v>6.6</v>
      </c>
      <c r="U60" s="21" t="str">
        <f t="shared" si="2"/>
        <v>Risco Médio</v>
      </c>
    </row>
    <row r="61" spans="1:21" ht="96" thickTop="1" thickBot="1">
      <c r="A61" s="87"/>
      <c r="B61" s="87"/>
      <c r="C61" s="87" t="s">
        <v>563</v>
      </c>
      <c r="D61" s="78"/>
      <c r="E61" s="168"/>
      <c r="F61" s="164"/>
      <c r="G61" s="78"/>
      <c r="H61" s="80" t="s">
        <v>286</v>
      </c>
      <c r="I61" s="86" t="s">
        <v>135</v>
      </c>
      <c r="J61" s="88" t="s">
        <v>280</v>
      </c>
      <c r="K61" s="65" t="s">
        <v>304</v>
      </c>
      <c r="L61" s="87" t="s">
        <v>640</v>
      </c>
      <c r="M61" s="102" t="s">
        <v>61</v>
      </c>
      <c r="N61" s="102" t="s">
        <v>52</v>
      </c>
      <c r="O61" s="35">
        <v>1</v>
      </c>
      <c r="P61" s="35">
        <v>1</v>
      </c>
      <c r="Q61" s="35">
        <v>1</v>
      </c>
      <c r="R61" s="35">
        <v>1</v>
      </c>
      <c r="S61" s="19">
        <f t="shared" si="1"/>
        <v>1</v>
      </c>
      <c r="T61" s="20">
        <f t="shared" si="0"/>
        <v>1</v>
      </c>
      <c r="U61" s="21" t="str">
        <f t="shared" si="2"/>
        <v>Risco Baixo</v>
      </c>
    </row>
    <row r="62" spans="1:21" ht="96" thickTop="1" thickBot="1">
      <c r="A62" s="87"/>
      <c r="B62" s="87"/>
      <c r="C62" s="87" t="s">
        <v>563</v>
      </c>
      <c r="D62" s="78"/>
      <c r="E62" s="168"/>
      <c r="F62" s="164"/>
      <c r="G62" s="78"/>
      <c r="H62" s="80" t="s">
        <v>287</v>
      </c>
      <c r="I62" s="86" t="s">
        <v>135</v>
      </c>
      <c r="J62" s="88" t="s">
        <v>281</v>
      </c>
      <c r="K62" s="65" t="s">
        <v>305</v>
      </c>
      <c r="L62" s="87" t="s">
        <v>640</v>
      </c>
      <c r="M62" s="102" t="s">
        <v>61</v>
      </c>
      <c r="N62" s="102" t="s">
        <v>52</v>
      </c>
      <c r="O62" s="35">
        <v>3</v>
      </c>
      <c r="P62" s="35">
        <v>1</v>
      </c>
      <c r="Q62" s="35">
        <v>3</v>
      </c>
      <c r="R62" s="35">
        <v>3</v>
      </c>
      <c r="S62" s="19">
        <f t="shared" si="1"/>
        <v>2.1999999999999997</v>
      </c>
      <c r="T62" s="20">
        <f t="shared" si="0"/>
        <v>6.6</v>
      </c>
      <c r="U62" s="21" t="str">
        <f t="shared" si="2"/>
        <v>Risco Médio</v>
      </c>
    </row>
    <row r="63" spans="1:21" ht="174.75" thickTop="1" thickBot="1">
      <c r="A63" s="87" t="s">
        <v>595</v>
      </c>
      <c r="B63" s="87"/>
      <c r="C63" s="87" t="s">
        <v>564</v>
      </c>
      <c r="D63" s="78"/>
      <c r="E63" s="168"/>
      <c r="F63" s="164"/>
      <c r="G63" s="78"/>
      <c r="H63" s="80" t="s">
        <v>288</v>
      </c>
      <c r="I63" s="86" t="s">
        <v>135</v>
      </c>
      <c r="J63" s="88" t="s">
        <v>282</v>
      </c>
      <c r="K63" s="65" t="s">
        <v>306</v>
      </c>
      <c r="L63" s="87" t="s">
        <v>640</v>
      </c>
      <c r="M63" s="102" t="s">
        <v>61</v>
      </c>
      <c r="N63" s="102" t="s">
        <v>52</v>
      </c>
      <c r="O63" s="35">
        <v>1</v>
      </c>
      <c r="P63" s="35">
        <v>3</v>
      </c>
      <c r="Q63" s="35">
        <v>1</v>
      </c>
      <c r="R63" s="35">
        <v>3</v>
      </c>
      <c r="S63" s="19">
        <f t="shared" si="1"/>
        <v>2.4000000000000004</v>
      </c>
      <c r="T63" s="20">
        <f t="shared" si="0"/>
        <v>2.4000000000000004</v>
      </c>
      <c r="U63" s="21" t="str">
        <f t="shared" si="2"/>
        <v>Risco Baixo</v>
      </c>
    </row>
    <row r="64" spans="1:21" ht="48.75" thickTop="1" thickBot="1">
      <c r="A64" s="87"/>
      <c r="B64" s="87"/>
      <c r="C64" s="87" t="s">
        <v>575</v>
      </c>
      <c r="D64" s="78"/>
      <c r="E64" s="168"/>
      <c r="F64" s="164" t="s">
        <v>290</v>
      </c>
      <c r="G64" s="78"/>
      <c r="H64" s="80" t="s">
        <v>294</v>
      </c>
      <c r="I64" s="86" t="s">
        <v>123</v>
      </c>
      <c r="J64" s="88" t="s">
        <v>291</v>
      </c>
      <c r="K64" s="65" t="s">
        <v>297</v>
      </c>
      <c r="L64" s="87" t="s">
        <v>641</v>
      </c>
      <c r="M64" s="102" t="s">
        <v>61</v>
      </c>
      <c r="N64" s="102" t="s">
        <v>52</v>
      </c>
      <c r="O64" s="35">
        <v>1</v>
      </c>
      <c r="P64" s="35">
        <v>1</v>
      </c>
      <c r="Q64" s="35">
        <v>1</v>
      </c>
      <c r="R64" s="35">
        <v>3</v>
      </c>
      <c r="S64" s="19">
        <f t="shared" si="1"/>
        <v>1.5999999999999999</v>
      </c>
      <c r="T64" s="20">
        <f t="shared" si="0"/>
        <v>1.5999999999999999</v>
      </c>
      <c r="U64" s="21" t="str">
        <f t="shared" si="2"/>
        <v>Risco Baixo</v>
      </c>
    </row>
    <row r="65" spans="1:21" ht="125.45" customHeight="1" thickTop="1" thickBot="1">
      <c r="A65" s="87"/>
      <c r="B65" s="87"/>
      <c r="C65" s="87" t="s">
        <v>571</v>
      </c>
      <c r="D65" s="78"/>
      <c r="E65" s="168"/>
      <c r="F65" s="164"/>
      <c r="G65" s="78"/>
      <c r="H65" s="80" t="s">
        <v>295</v>
      </c>
      <c r="I65" s="86" t="s">
        <v>123</v>
      </c>
      <c r="J65" s="88" t="s">
        <v>292</v>
      </c>
      <c r="K65" s="65" t="s">
        <v>298</v>
      </c>
      <c r="L65" s="87" t="s">
        <v>364</v>
      </c>
      <c r="M65" s="102" t="s">
        <v>61</v>
      </c>
      <c r="N65" s="102" t="s">
        <v>52</v>
      </c>
      <c r="O65" s="35">
        <v>1</v>
      </c>
      <c r="P65" s="35">
        <v>3</v>
      </c>
      <c r="Q65" s="35">
        <v>3</v>
      </c>
      <c r="R65" s="35">
        <v>3</v>
      </c>
      <c r="S65" s="19">
        <f t="shared" si="1"/>
        <v>3</v>
      </c>
      <c r="T65" s="20">
        <f t="shared" si="0"/>
        <v>3</v>
      </c>
      <c r="U65" s="21" t="str">
        <f t="shared" si="2"/>
        <v>Risco Baixo</v>
      </c>
    </row>
    <row r="66" spans="1:21" ht="48.75" thickTop="1" thickBot="1">
      <c r="A66" s="87" t="s">
        <v>578</v>
      </c>
      <c r="B66" s="87"/>
      <c r="C66" s="87" t="s">
        <v>566</v>
      </c>
      <c r="D66" s="78"/>
      <c r="E66" s="169"/>
      <c r="F66" s="164"/>
      <c r="G66" s="78"/>
      <c r="H66" s="80" t="s">
        <v>296</v>
      </c>
      <c r="I66" s="86" t="s">
        <v>123</v>
      </c>
      <c r="J66" s="88" t="s">
        <v>293</v>
      </c>
      <c r="K66" s="65" t="s">
        <v>299</v>
      </c>
      <c r="L66" s="87" t="s">
        <v>376</v>
      </c>
      <c r="M66" s="102" t="s">
        <v>61</v>
      </c>
      <c r="N66" s="102" t="s">
        <v>52</v>
      </c>
      <c r="O66" s="35">
        <v>1</v>
      </c>
      <c r="P66" s="35">
        <v>1</v>
      </c>
      <c r="Q66" s="35">
        <v>3</v>
      </c>
      <c r="R66" s="35">
        <v>3</v>
      </c>
      <c r="S66" s="19">
        <f t="shared" si="1"/>
        <v>2.1999999999999997</v>
      </c>
      <c r="T66" s="20">
        <f t="shared" si="0"/>
        <v>2.1999999999999997</v>
      </c>
      <c r="U66" s="21" t="str">
        <f t="shared" si="2"/>
        <v>Risco Baixo</v>
      </c>
    </row>
    <row r="67" spans="1:21" ht="80.25" thickTop="1" thickBot="1">
      <c r="A67" s="87" t="s">
        <v>596</v>
      </c>
      <c r="B67" s="87"/>
      <c r="C67" s="87" t="s">
        <v>568</v>
      </c>
      <c r="D67" s="78"/>
      <c r="E67" s="167" t="s">
        <v>206</v>
      </c>
      <c r="F67" s="167" t="s">
        <v>207</v>
      </c>
      <c r="G67" s="78"/>
      <c r="H67" s="80" t="s">
        <v>232</v>
      </c>
      <c r="I67" s="86" t="s">
        <v>123</v>
      </c>
      <c r="J67" s="88" t="s">
        <v>225</v>
      </c>
      <c r="K67" s="65" t="s">
        <v>239</v>
      </c>
      <c r="L67" s="87" t="s">
        <v>423</v>
      </c>
      <c r="M67" s="82" t="s">
        <v>61</v>
      </c>
      <c r="N67" s="102" t="s">
        <v>52</v>
      </c>
      <c r="O67" s="35">
        <v>3</v>
      </c>
      <c r="P67" s="35">
        <v>1</v>
      </c>
      <c r="Q67" s="35">
        <v>3</v>
      </c>
      <c r="R67" s="35">
        <v>5</v>
      </c>
      <c r="S67" s="19">
        <f t="shared" si="1"/>
        <v>2.8</v>
      </c>
      <c r="T67" s="20">
        <f t="shared" si="0"/>
        <v>8.3999999999999986</v>
      </c>
      <c r="U67" s="21" t="str">
        <f t="shared" si="2"/>
        <v>Risco Médio</v>
      </c>
    </row>
    <row r="68" spans="1:21" ht="31.9" customHeight="1" thickTop="1" thickBot="1">
      <c r="A68" s="87" t="s">
        <v>596</v>
      </c>
      <c r="B68" s="87"/>
      <c r="C68" s="87" t="s">
        <v>568</v>
      </c>
      <c r="D68" s="78"/>
      <c r="E68" s="168"/>
      <c r="F68" s="168"/>
      <c r="G68" s="78"/>
      <c r="H68" s="80" t="s">
        <v>233</v>
      </c>
      <c r="I68" s="86" t="s">
        <v>135</v>
      </c>
      <c r="J68" s="88" t="s">
        <v>226</v>
      </c>
      <c r="K68" s="65" t="s">
        <v>240</v>
      </c>
      <c r="L68" s="87" t="s">
        <v>436</v>
      </c>
      <c r="M68" s="102" t="s">
        <v>61</v>
      </c>
      <c r="N68" s="102" t="s">
        <v>52</v>
      </c>
      <c r="O68" s="35">
        <v>1</v>
      </c>
      <c r="P68" s="35">
        <v>1</v>
      </c>
      <c r="Q68" s="35">
        <v>1</v>
      </c>
      <c r="R68" s="35">
        <v>1</v>
      </c>
      <c r="S68" s="19">
        <f t="shared" si="1"/>
        <v>1</v>
      </c>
      <c r="T68" s="20">
        <f t="shared" si="0"/>
        <v>1</v>
      </c>
      <c r="U68" s="21" t="str">
        <f t="shared" si="2"/>
        <v>Risco Baixo</v>
      </c>
    </row>
    <row r="69" spans="1:21" ht="80.25" thickTop="1" thickBot="1">
      <c r="A69" s="87" t="s">
        <v>596</v>
      </c>
      <c r="B69" s="87"/>
      <c r="C69" s="87" t="s">
        <v>568</v>
      </c>
      <c r="D69" s="78"/>
      <c r="E69" s="168"/>
      <c r="F69" s="168"/>
      <c r="G69" s="78"/>
      <c r="H69" s="80" t="s">
        <v>234</v>
      </c>
      <c r="I69" s="86" t="s">
        <v>123</v>
      </c>
      <c r="J69" s="88" t="s">
        <v>227</v>
      </c>
      <c r="K69" s="65" t="s">
        <v>241</v>
      </c>
      <c r="L69" s="87" t="s">
        <v>443</v>
      </c>
      <c r="M69" s="105" t="s">
        <v>50</v>
      </c>
      <c r="N69" s="102" t="s">
        <v>53</v>
      </c>
      <c r="O69" s="35">
        <v>1</v>
      </c>
      <c r="P69" s="35">
        <v>1</v>
      </c>
      <c r="Q69" s="35">
        <v>1</v>
      </c>
      <c r="R69" s="35">
        <v>1</v>
      </c>
      <c r="S69" s="19">
        <f t="shared" si="1"/>
        <v>1</v>
      </c>
      <c r="T69" s="20">
        <f t="shared" si="0"/>
        <v>1</v>
      </c>
      <c r="U69" s="21" t="str">
        <f t="shared" si="2"/>
        <v>Risco Baixo</v>
      </c>
    </row>
    <row r="70" spans="1:21" ht="64.5" thickTop="1" thickBot="1">
      <c r="A70" s="87"/>
      <c r="B70" s="87"/>
      <c r="C70" s="87" t="s">
        <v>568</v>
      </c>
      <c r="D70" s="78"/>
      <c r="E70" s="168"/>
      <c r="F70" s="168"/>
      <c r="G70" s="78"/>
      <c r="H70" s="80" t="s">
        <v>235</v>
      </c>
      <c r="I70" s="86" t="s">
        <v>135</v>
      </c>
      <c r="J70" s="88" t="s">
        <v>228</v>
      </c>
      <c r="K70" s="65" t="s">
        <v>242</v>
      </c>
      <c r="L70" s="87" t="s">
        <v>449</v>
      </c>
      <c r="M70" s="82" t="s">
        <v>61</v>
      </c>
      <c r="N70" s="102" t="s">
        <v>52</v>
      </c>
      <c r="O70" s="35">
        <v>1</v>
      </c>
      <c r="P70" s="35">
        <v>1</v>
      </c>
      <c r="Q70" s="35">
        <v>3</v>
      </c>
      <c r="R70" s="35">
        <v>3</v>
      </c>
      <c r="S70" s="19">
        <f t="shared" si="1"/>
        <v>2.1999999999999997</v>
      </c>
      <c r="T70" s="20">
        <f t="shared" si="0"/>
        <v>2.1999999999999997</v>
      </c>
      <c r="U70" s="21" t="str">
        <f t="shared" si="2"/>
        <v>Risco Baixo</v>
      </c>
    </row>
    <row r="71" spans="1:21" ht="80.25" thickTop="1" thickBot="1">
      <c r="A71" s="87" t="s">
        <v>596</v>
      </c>
      <c r="B71" s="87"/>
      <c r="C71" s="87" t="s">
        <v>568</v>
      </c>
      <c r="D71" s="78"/>
      <c r="E71" s="168"/>
      <c r="F71" s="168"/>
      <c r="G71" s="78"/>
      <c r="H71" s="80" t="s">
        <v>236</v>
      </c>
      <c r="I71" s="86" t="s">
        <v>135</v>
      </c>
      <c r="J71" s="88" t="s">
        <v>229</v>
      </c>
      <c r="K71" s="65" t="s">
        <v>243</v>
      </c>
      <c r="L71" s="87" t="s">
        <v>443</v>
      </c>
      <c r="M71" s="82" t="s">
        <v>50</v>
      </c>
      <c r="N71" s="83" t="s">
        <v>53</v>
      </c>
      <c r="O71" s="35">
        <v>3</v>
      </c>
      <c r="P71" s="35">
        <v>1</v>
      </c>
      <c r="Q71" s="35">
        <v>1</v>
      </c>
      <c r="R71" s="35">
        <v>3</v>
      </c>
      <c r="S71" s="19">
        <f t="shared" si="1"/>
        <v>1.5999999999999999</v>
      </c>
      <c r="T71" s="20">
        <f t="shared" si="0"/>
        <v>4.8</v>
      </c>
      <c r="U71" s="21" t="str">
        <f t="shared" si="2"/>
        <v>Risco Baixo</v>
      </c>
    </row>
    <row r="72" spans="1:21" ht="80.25" thickTop="1" thickBot="1">
      <c r="A72" s="87" t="s">
        <v>596</v>
      </c>
      <c r="B72" s="87"/>
      <c r="C72" s="87" t="s">
        <v>568</v>
      </c>
      <c r="D72" s="78"/>
      <c r="E72" s="168"/>
      <c r="F72" s="168"/>
      <c r="G72" s="78"/>
      <c r="H72" s="80" t="s">
        <v>237</v>
      </c>
      <c r="I72" s="86" t="s">
        <v>135</v>
      </c>
      <c r="J72" s="88" t="s">
        <v>230</v>
      </c>
      <c r="K72" s="65" t="s">
        <v>244</v>
      </c>
      <c r="L72" s="87" t="s">
        <v>443</v>
      </c>
      <c r="M72" s="82" t="s">
        <v>50</v>
      </c>
      <c r="N72" s="83" t="s">
        <v>53</v>
      </c>
      <c r="O72" s="35">
        <v>3</v>
      </c>
      <c r="P72" s="35">
        <v>1</v>
      </c>
      <c r="Q72" s="35">
        <v>1</v>
      </c>
      <c r="R72" s="35">
        <v>1</v>
      </c>
      <c r="S72" s="19">
        <f t="shared" si="1"/>
        <v>1</v>
      </c>
      <c r="T72" s="20">
        <f t="shared" si="0"/>
        <v>3</v>
      </c>
      <c r="U72" s="21" t="str">
        <f t="shared" si="2"/>
        <v>Risco Baixo</v>
      </c>
    </row>
    <row r="73" spans="1:21" ht="63.75" thickTop="1">
      <c r="A73" s="87" t="s">
        <v>596</v>
      </c>
      <c r="B73" s="87"/>
      <c r="C73" s="87" t="s">
        <v>568</v>
      </c>
      <c r="D73" s="78"/>
      <c r="E73" s="169"/>
      <c r="F73" s="169"/>
      <c r="G73" s="78"/>
      <c r="H73" s="80" t="s">
        <v>238</v>
      </c>
      <c r="I73" s="86" t="s">
        <v>135</v>
      </c>
      <c r="J73" s="88" t="s">
        <v>231</v>
      </c>
      <c r="K73" s="65" t="s">
        <v>245</v>
      </c>
      <c r="L73" s="87" t="s">
        <v>459</v>
      </c>
      <c r="M73" s="102" t="s">
        <v>61</v>
      </c>
      <c r="N73" s="102" t="s">
        <v>52</v>
      </c>
      <c r="O73" s="35">
        <v>3</v>
      </c>
      <c r="P73" s="35">
        <v>1</v>
      </c>
      <c r="Q73" s="35">
        <v>1</v>
      </c>
      <c r="R73" s="35">
        <v>1</v>
      </c>
      <c r="S73" s="19">
        <f>(P73*$P$8+Q73*$Q$8+R73*$R$8)</f>
        <v>1</v>
      </c>
      <c r="T73" s="19">
        <f t="shared" ref="T73" si="3">O73*S73</f>
        <v>3</v>
      </c>
      <c r="U73" s="21" t="str">
        <f t="shared" ref="U73:U76" si="4">IF(T73&lt;5,"Risco Baixo",IF(AND(T73&gt;=5,T73&lt;15),"Risco Médio",IF(AND(T73&gt;=15),"Risco Alto")))</f>
        <v>Risco Baixo</v>
      </c>
    </row>
    <row r="74" spans="1:21" ht="31.5">
      <c r="A74" s="87"/>
      <c r="B74" s="87"/>
      <c r="C74" s="87" t="s">
        <v>566</v>
      </c>
      <c r="D74" s="78"/>
      <c r="E74" s="167" t="s">
        <v>208</v>
      </c>
      <c r="F74" s="164" t="s">
        <v>336</v>
      </c>
      <c r="G74" s="78"/>
      <c r="H74" s="80" t="s">
        <v>337</v>
      </c>
      <c r="I74" s="86" t="s">
        <v>135</v>
      </c>
      <c r="J74" s="88" t="s">
        <v>246</v>
      </c>
      <c r="K74" s="65" t="s">
        <v>256</v>
      </c>
      <c r="L74" s="87" t="s">
        <v>462</v>
      </c>
      <c r="M74" s="105" t="s">
        <v>61</v>
      </c>
      <c r="N74" s="102" t="s">
        <v>52</v>
      </c>
      <c r="O74" s="35">
        <v>1</v>
      </c>
      <c r="P74" s="35">
        <v>1</v>
      </c>
      <c r="Q74" s="35">
        <v>1</v>
      </c>
      <c r="R74" s="35">
        <v>3</v>
      </c>
      <c r="S74" s="19">
        <f>(P74*$P$8+Q74*$Q$8+R74*$R$8)</f>
        <v>1.5999999999999999</v>
      </c>
      <c r="T74" s="19">
        <f t="shared" ref="T74:T84" si="5">O74*S74</f>
        <v>1.5999999999999999</v>
      </c>
      <c r="U74" s="85" t="str">
        <f t="shared" si="4"/>
        <v>Risco Baixo</v>
      </c>
    </row>
    <row r="75" spans="1:21" ht="31.5">
      <c r="A75" s="87"/>
      <c r="B75" s="87"/>
      <c r="C75" s="87" t="s">
        <v>566</v>
      </c>
      <c r="D75" s="78"/>
      <c r="E75" s="168"/>
      <c r="F75" s="164"/>
      <c r="G75" s="78"/>
      <c r="H75" s="80" t="s">
        <v>251</v>
      </c>
      <c r="I75" s="86" t="s">
        <v>135</v>
      </c>
      <c r="J75" s="88" t="s">
        <v>247</v>
      </c>
      <c r="K75" s="65" t="s">
        <v>469</v>
      </c>
      <c r="L75" s="87"/>
      <c r="M75" s="102" t="s">
        <v>60</v>
      </c>
      <c r="N75" s="102" t="s">
        <v>51</v>
      </c>
      <c r="O75" s="35">
        <v>1</v>
      </c>
      <c r="P75" s="35">
        <v>1</v>
      </c>
      <c r="Q75" s="35">
        <v>1</v>
      </c>
      <c r="R75" s="35">
        <v>3</v>
      </c>
      <c r="S75" s="19">
        <f>(P75*$P$8+Q75*$Q$8+R75*$R$8)</f>
        <v>1.5999999999999999</v>
      </c>
      <c r="T75" s="19">
        <f t="shared" si="5"/>
        <v>1.5999999999999999</v>
      </c>
      <c r="U75" s="85" t="str">
        <f t="shared" si="4"/>
        <v>Risco Baixo</v>
      </c>
    </row>
    <row r="76" spans="1:21" ht="31.5">
      <c r="A76" s="87"/>
      <c r="B76" s="87"/>
      <c r="C76" s="87" t="s">
        <v>568</v>
      </c>
      <c r="D76" s="78"/>
      <c r="E76" s="168"/>
      <c r="F76" s="164"/>
      <c r="G76" s="78"/>
      <c r="H76" s="80" t="s">
        <v>252</v>
      </c>
      <c r="I76" s="86" t="s">
        <v>135</v>
      </c>
      <c r="J76" s="88" t="s">
        <v>248</v>
      </c>
      <c r="K76" s="65" t="s">
        <v>472</v>
      </c>
      <c r="L76" s="87" t="s">
        <v>479</v>
      </c>
      <c r="M76" s="102" t="s">
        <v>61</v>
      </c>
      <c r="N76" s="102" t="s">
        <v>52</v>
      </c>
      <c r="O76" s="35">
        <v>1</v>
      </c>
      <c r="P76" s="35">
        <v>1</v>
      </c>
      <c r="Q76" s="35">
        <v>1</v>
      </c>
      <c r="R76" s="35">
        <v>1</v>
      </c>
      <c r="S76" s="19">
        <f>(P76*$P$8+Q76*$Q$8+R76*$R$8)</f>
        <v>1</v>
      </c>
      <c r="T76" s="19">
        <f t="shared" si="5"/>
        <v>1</v>
      </c>
      <c r="U76" s="85" t="str">
        <f t="shared" si="4"/>
        <v>Risco Baixo</v>
      </c>
    </row>
    <row r="77" spans="1:21" ht="31.5">
      <c r="A77" s="87"/>
      <c r="B77" s="87"/>
      <c r="C77" s="87" t="s">
        <v>566</v>
      </c>
      <c r="D77" s="78"/>
      <c r="E77" s="168"/>
      <c r="F77" s="164"/>
      <c r="G77" s="78"/>
      <c r="H77" s="80" t="s">
        <v>253</v>
      </c>
      <c r="I77" s="86" t="s">
        <v>123</v>
      </c>
      <c r="J77" s="88" t="s">
        <v>249</v>
      </c>
      <c r="K77" s="65" t="s">
        <v>259</v>
      </c>
      <c r="L77" s="87" t="s">
        <v>479</v>
      </c>
      <c r="M77" s="102" t="s">
        <v>61</v>
      </c>
      <c r="N77" s="102" t="s">
        <v>52</v>
      </c>
      <c r="O77" s="35">
        <v>1</v>
      </c>
      <c r="P77" s="35">
        <v>1</v>
      </c>
      <c r="Q77" s="35">
        <v>1</v>
      </c>
      <c r="R77" s="35">
        <v>3</v>
      </c>
      <c r="S77" s="19">
        <f t="shared" ref="S77:S84" si="6">(P77*$P$8+Q77*$Q$8+R77*$R$8)</f>
        <v>1.5999999999999999</v>
      </c>
      <c r="T77" s="19">
        <f t="shared" si="5"/>
        <v>1.5999999999999999</v>
      </c>
      <c r="U77" s="85" t="str">
        <f t="shared" ref="U77:U84" si="7">IF(T77&lt;5,"Risco Baixo",IF(AND(T77&gt;=5,T77&lt;15),"Risco Médio",IF(AND(T77&gt;=15),"Risco Alto")))</f>
        <v>Risco Baixo</v>
      </c>
    </row>
    <row r="78" spans="1:21" ht="63">
      <c r="A78" s="87"/>
      <c r="B78" s="87"/>
      <c r="C78" s="87" t="s">
        <v>566</v>
      </c>
      <c r="D78" s="78"/>
      <c r="E78" s="168"/>
      <c r="F78" s="164"/>
      <c r="G78" s="78"/>
      <c r="H78" s="80" t="s">
        <v>254</v>
      </c>
      <c r="I78" s="86" t="s">
        <v>123</v>
      </c>
      <c r="J78" s="88" t="s">
        <v>475</v>
      </c>
      <c r="K78" s="65" t="s">
        <v>260</v>
      </c>
      <c r="L78" s="87" t="s">
        <v>476</v>
      </c>
      <c r="M78" s="105" t="s">
        <v>60</v>
      </c>
      <c r="N78" s="83" t="s">
        <v>51</v>
      </c>
      <c r="O78" s="35">
        <v>1</v>
      </c>
      <c r="P78" s="35">
        <v>1</v>
      </c>
      <c r="Q78" s="35">
        <v>3</v>
      </c>
      <c r="R78" s="35">
        <v>3</v>
      </c>
      <c r="S78" s="19">
        <f t="shared" si="6"/>
        <v>2.1999999999999997</v>
      </c>
      <c r="T78" s="19">
        <f t="shared" si="5"/>
        <v>2.1999999999999997</v>
      </c>
      <c r="U78" s="85" t="str">
        <f t="shared" si="7"/>
        <v>Risco Baixo</v>
      </c>
    </row>
    <row r="79" spans="1:21" ht="31.5">
      <c r="A79" s="87"/>
      <c r="B79" s="87"/>
      <c r="C79" s="87" t="s">
        <v>566</v>
      </c>
      <c r="D79" s="78"/>
      <c r="E79" s="168"/>
      <c r="F79" s="164"/>
      <c r="G79" s="78"/>
      <c r="H79" s="80" t="s">
        <v>255</v>
      </c>
      <c r="I79" s="86" t="s">
        <v>123</v>
      </c>
      <c r="J79" s="88" t="s">
        <v>350</v>
      </c>
      <c r="K79" s="65" t="s">
        <v>261</v>
      </c>
      <c r="L79" s="87" t="s">
        <v>480</v>
      </c>
      <c r="M79" s="102" t="s">
        <v>61</v>
      </c>
      <c r="N79" s="102" t="s">
        <v>52</v>
      </c>
      <c r="O79" s="35">
        <v>3</v>
      </c>
      <c r="P79" s="35">
        <v>3</v>
      </c>
      <c r="Q79" s="35">
        <v>1</v>
      </c>
      <c r="R79" s="35">
        <v>3</v>
      </c>
      <c r="S79" s="19">
        <f t="shared" si="6"/>
        <v>2.4000000000000004</v>
      </c>
      <c r="T79" s="19">
        <f t="shared" si="5"/>
        <v>7.2000000000000011</v>
      </c>
      <c r="U79" s="85" t="str">
        <f t="shared" si="7"/>
        <v>Risco Médio</v>
      </c>
    </row>
    <row r="80" spans="1:21" ht="63">
      <c r="A80" s="87"/>
      <c r="B80" s="87"/>
      <c r="C80" s="87" t="s">
        <v>576</v>
      </c>
      <c r="D80" s="78"/>
      <c r="E80" s="168"/>
      <c r="F80" s="164" t="s">
        <v>209</v>
      </c>
      <c r="G80" s="78"/>
      <c r="H80" s="80" t="s">
        <v>265</v>
      </c>
      <c r="I80" s="86" t="s">
        <v>270</v>
      </c>
      <c r="J80" s="88" t="s">
        <v>338</v>
      </c>
      <c r="K80" s="88" t="s">
        <v>398</v>
      </c>
      <c r="L80" s="87" t="s">
        <v>379</v>
      </c>
      <c r="M80" s="105" t="s">
        <v>61</v>
      </c>
      <c r="N80" s="83" t="s">
        <v>52</v>
      </c>
      <c r="O80" s="35">
        <v>3</v>
      </c>
      <c r="P80" s="35">
        <v>1</v>
      </c>
      <c r="Q80" s="35">
        <v>1</v>
      </c>
      <c r="R80" s="35">
        <v>1</v>
      </c>
      <c r="S80" s="19">
        <f t="shared" si="6"/>
        <v>1</v>
      </c>
      <c r="T80" s="19">
        <f t="shared" si="5"/>
        <v>3</v>
      </c>
      <c r="U80" s="85" t="str">
        <f t="shared" si="7"/>
        <v>Risco Baixo</v>
      </c>
    </row>
    <row r="81" spans="1:21" ht="47.25">
      <c r="A81" s="87"/>
      <c r="B81" s="87"/>
      <c r="C81" s="87" t="s">
        <v>576</v>
      </c>
      <c r="D81" s="78"/>
      <c r="E81" s="168"/>
      <c r="F81" s="164"/>
      <c r="G81" s="78"/>
      <c r="H81" s="80" t="s">
        <v>266</v>
      </c>
      <c r="I81" s="86" t="s">
        <v>270</v>
      </c>
      <c r="J81" s="88" t="s">
        <v>262</v>
      </c>
      <c r="K81" s="65" t="s">
        <v>271</v>
      </c>
      <c r="L81" s="87" t="s">
        <v>384</v>
      </c>
      <c r="M81" s="82" t="s">
        <v>61</v>
      </c>
      <c r="N81" s="102" t="s">
        <v>52</v>
      </c>
      <c r="O81" s="35">
        <v>3</v>
      </c>
      <c r="P81" s="35">
        <v>1</v>
      </c>
      <c r="Q81" s="35">
        <v>3</v>
      </c>
      <c r="R81" s="35">
        <v>1</v>
      </c>
      <c r="S81" s="19">
        <f t="shared" si="6"/>
        <v>1.5999999999999999</v>
      </c>
      <c r="T81" s="19">
        <f t="shared" si="5"/>
        <v>4.8</v>
      </c>
      <c r="U81" s="85" t="str">
        <f t="shared" si="7"/>
        <v>Risco Baixo</v>
      </c>
    </row>
    <row r="82" spans="1:21" ht="94.5">
      <c r="A82" s="87"/>
      <c r="B82" s="87"/>
      <c r="C82" s="87" t="s">
        <v>576</v>
      </c>
      <c r="D82" s="78"/>
      <c r="E82" s="168"/>
      <c r="F82" s="164"/>
      <c r="G82" s="78"/>
      <c r="H82" s="80" t="s">
        <v>267</v>
      </c>
      <c r="I82" s="86" t="s">
        <v>135</v>
      </c>
      <c r="J82" s="88" t="s">
        <v>263</v>
      </c>
      <c r="K82" s="65" t="s">
        <v>272</v>
      </c>
      <c r="L82" s="107" t="s">
        <v>642</v>
      </c>
      <c r="M82" s="82" t="s">
        <v>61</v>
      </c>
      <c r="N82" s="102" t="s">
        <v>52</v>
      </c>
      <c r="O82" s="35">
        <v>1</v>
      </c>
      <c r="P82" s="35">
        <v>1</v>
      </c>
      <c r="Q82" s="35">
        <v>1</v>
      </c>
      <c r="R82" s="35">
        <v>1</v>
      </c>
      <c r="S82" s="19">
        <f t="shared" si="6"/>
        <v>1</v>
      </c>
      <c r="T82" s="19">
        <f t="shared" si="5"/>
        <v>1</v>
      </c>
      <c r="U82" s="85" t="str">
        <f t="shared" si="7"/>
        <v>Risco Baixo</v>
      </c>
    </row>
    <row r="83" spans="1:21" ht="31.9" customHeight="1">
      <c r="A83" s="87"/>
      <c r="B83" s="87"/>
      <c r="C83" s="87" t="s">
        <v>566</v>
      </c>
      <c r="D83" s="78"/>
      <c r="E83" s="168"/>
      <c r="F83" s="164"/>
      <c r="G83" s="78"/>
      <c r="H83" s="80" t="s">
        <v>268</v>
      </c>
      <c r="I83" s="86" t="s">
        <v>123</v>
      </c>
      <c r="J83" s="88" t="s">
        <v>264</v>
      </c>
      <c r="K83" s="65" t="s">
        <v>273</v>
      </c>
      <c r="L83" s="87" t="s">
        <v>392</v>
      </c>
      <c r="M83" s="102" t="s">
        <v>61</v>
      </c>
      <c r="N83" s="102" t="s">
        <v>52</v>
      </c>
      <c r="O83" s="35">
        <v>1</v>
      </c>
      <c r="P83" s="35">
        <v>1</v>
      </c>
      <c r="Q83" s="35">
        <v>3</v>
      </c>
      <c r="R83" s="35">
        <v>1</v>
      </c>
      <c r="S83" s="19">
        <f t="shared" si="6"/>
        <v>1.5999999999999999</v>
      </c>
      <c r="T83" s="19">
        <f t="shared" si="5"/>
        <v>1.5999999999999999</v>
      </c>
      <c r="U83" s="85" t="str">
        <f t="shared" si="7"/>
        <v>Risco Baixo</v>
      </c>
    </row>
    <row r="84" spans="1:21" ht="47.25">
      <c r="A84" s="87"/>
      <c r="B84" s="87"/>
      <c r="C84" s="87" t="s">
        <v>566</v>
      </c>
      <c r="D84" s="78"/>
      <c r="E84" s="169"/>
      <c r="F84" s="164"/>
      <c r="G84" s="78"/>
      <c r="H84" s="80" t="s">
        <v>269</v>
      </c>
      <c r="I84" s="86" t="s">
        <v>123</v>
      </c>
      <c r="J84" s="88" t="s">
        <v>351</v>
      </c>
      <c r="K84" s="65" t="s">
        <v>274</v>
      </c>
      <c r="L84" s="87" t="s">
        <v>394</v>
      </c>
      <c r="M84" s="102" t="s">
        <v>61</v>
      </c>
      <c r="N84" s="102" t="s">
        <v>52</v>
      </c>
      <c r="O84" s="35">
        <v>1</v>
      </c>
      <c r="P84" s="35">
        <v>1</v>
      </c>
      <c r="Q84" s="35">
        <v>1</v>
      </c>
      <c r="R84" s="35">
        <v>3</v>
      </c>
      <c r="S84" s="19">
        <f t="shared" si="6"/>
        <v>1.5999999999999999</v>
      </c>
      <c r="T84" s="19">
        <f t="shared" si="5"/>
        <v>1.5999999999999999</v>
      </c>
      <c r="U84" s="85" t="str">
        <f t="shared" si="7"/>
        <v>Risco Baixo</v>
      </c>
    </row>
  </sheetData>
  <sheetProtection formatCells="0" formatColumns="0" formatRows="0" insertRows="0" deleteRows="0"/>
  <autoFilter ref="A6:U84" xr:uid="{00000000-0001-0000-0000-000000000000}">
    <filterColumn colId="15" showButton="0"/>
    <filterColumn colId="16" showButton="0"/>
  </autoFilter>
  <dataConsolidate/>
  <mergeCells count="42">
    <mergeCell ref="V6:Y11"/>
    <mergeCell ref="H6:H8"/>
    <mergeCell ref="J6:J8"/>
    <mergeCell ref="O6:O8"/>
    <mergeCell ref="T6:T8"/>
    <mergeCell ref="S6:S8"/>
    <mergeCell ref="L6:L8"/>
    <mergeCell ref="M6:M8"/>
    <mergeCell ref="N6:N8"/>
    <mergeCell ref="P6:R6"/>
    <mergeCell ref="K6:K8"/>
    <mergeCell ref="B6:B8"/>
    <mergeCell ref="C6:C8"/>
    <mergeCell ref="D6:D8"/>
    <mergeCell ref="A6:A8"/>
    <mergeCell ref="U6:U8"/>
    <mergeCell ref="G6:G8"/>
    <mergeCell ref="E6:E8"/>
    <mergeCell ref="F6:F8"/>
    <mergeCell ref="I6:I8"/>
    <mergeCell ref="E9:E17"/>
    <mergeCell ref="F23:F34"/>
    <mergeCell ref="E18:E22"/>
    <mergeCell ref="F18:F22"/>
    <mergeCell ref="F9:F17"/>
    <mergeCell ref="E23:E44"/>
    <mergeCell ref="F35:F44"/>
    <mergeCell ref="F67:F73"/>
    <mergeCell ref="E67:E73"/>
    <mergeCell ref="F74:F79"/>
    <mergeCell ref="F57:F63"/>
    <mergeCell ref="F64:F66"/>
    <mergeCell ref="E45:E66"/>
    <mergeCell ref="F45:F52"/>
    <mergeCell ref="E74:E84"/>
    <mergeCell ref="F80:F84"/>
    <mergeCell ref="A49:A50"/>
    <mergeCell ref="C49:C50"/>
    <mergeCell ref="B49:B50"/>
    <mergeCell ref="H49:H50"/>
    <mergeCell ref="F53:F56"/>
    <mergeCell ref="G49:G50"/>
  </mergeCells>
  <conditionalFormatting sqref="U9:U84">
    <cfRule type="cellIs" dxfId="6" priority="1" operator="equal">
      <formula>"Risco Alto"</formula>
    </cfRule>
    <cfRule type="cellIs" dxfId="5" priority="2" operator="equal">
      <formula>"Risco Médio"</formula>
    </cfRule>
    <cfRule type="cellIs" dxfId="4" priority="3" operator="equal">
      <formula>"Risco Baixo"</formula>
    </cfRule>
  </conditionalFormatting>
  <pageMargins left="0.51181102362204722" right="0.51181102362204722" top="0.59055118110236227" bottom="0.59055118110236227" header="0.31496062992125984" footer="0.31496062992125984"/>
  <pageSetup paperSize="9" scale="55" fitToWidth="0" fitToHeight="0" orientation="landscape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allowBlank="1" showInputMessage="1" showErrorMessage="1" errorTitle="Escolher uma opção da lista" xr:uid="{38731070-CAF3-4A42-8B77-1776795CD53C}">
          <x14:formula1>
            <xm:f>'Controle-avaliação'!$A$3:$A$5</xm:f>
          </x14:formula1>
          <xm:sqref>M9:M84</xm:sqref>
        </x14:dataValidation>
        <x14:dataValidation type="list" errorStyle="warning" allowBlank="1" showInputMessage="1" showErrorMessage="1" errorTitle="Escolher uma opção da lista" xr:uid="{E38E61BA-71FE-6849-ACF4-25F8D3390175}">
          <x14:formula1>
            <xm:f>'Controle-avaliação'!$B$3:$B$5</xm:f>
          </x14:formula1>
          <xm:sqref>N9:N84</xm:sqref>
        </x14:dataValidation>
        <x14:dataValidation type="list" errorStyle="warning" allowBlank="1" showInputMessage="1" showErrorMessage="1" errorTitle="Escolher uma opção da lista" xr:uid="{00000000-0002-0000-0000-000001000000}">
          <x14:formula1>
            <xm:f>'Probabilidade e Impacto'!$J$4:$J$6</xm:f>
          </x14:formula1>
          <xm:sqref>O9:R84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3DA23-49C3-A542-AD2F-0A0A66555921}">
  <dimension ref="A1:F219"/>
  <sheetViews>
    <sheetView topLeftCell="A6" zoomScaleNormal="100" workbookViewId="0">
      <pane ySplit="1" topLeftCell="A7" activePane="bottomLeft" state="frozen"/>
      <selection activeCell="A6" sqref="A6"/>
      <selection pane="bottomLeft" activeCell="E167" sqref="E167"/>
    </sheetView>
  </sheetViews>
  <sheetFormatPr defaultColWidth="10.85546875" defaultRowHeight="15.75"/>
  <cols>
    <col min="1" max="1" width="15.85546875" style="158" customWidth="1"/>
    <col min="2" max="2" width="49.5703125" style="49" customWidth="1"/>
    <col min="3" max="3" width="112.140625" style="59" customWidth="1"/>
    <col min="4" max="4" width="32.140625" style="119" customWidth="1"/>
    <col min="5" max="5" width="27.85546875" style="49" customWidth="1"/>
    <col min="6" max="6" width="33.7109375" style="49" customWidth="1"/>
    <col min="7" max="16384" width="10.85546875" style="49"/>
  </cols>
  <sheetData>
    <row r="1" spans="1:6" hidden="1">
      <c r="A1" s="239" t="s">
        <v>64</v>
      </c>
      <c r="B1" s="240"/>
      <c r="C1" s="240"/>
      <c r="D1" s="240"/>
      <c r="E1" s="241" t="s">
        <v>71</v>
      </c>
      <c r="F1" s="242"/>
    </row>
    <row r="2" spans="1:6" hidden="1">
      <c r="A2" s="243" t="s">
        <v>344</v>
      </c>
      <c r="B2" s="244"/>
      <c r="C2" s="244"/>
      <c r="D2" s="244"/>
      <c r="E2" s="245"/>
      <c r="F2" s="246"/>
    </row>
    <row r="3" spans="1:6" hidden="1">
      <c r="A3" s="247" t="s">
        <v>72</v>
      </c>
      <c r="B3" s="248"/>
      <c r="C3" s="248"/>
      <c r="D3" s="248"/>
      <c r="E3" s="249" t="s">
        <v>65</v>
      </c>
      <c r="F3" s="250"/>
    </row>
    <row r="4" spans="1:6" hidden="1">
      <c r="A4" s="288"/>
      <c r="B4" s="50"/>
      <c r="C4" s="51"/>
      <c r="D4" s="118"/>
      <c r="E4" s="50"/>
      <c r="F4" s="50"/>
    </row>
    <row r="5" spans="1:6" ht="15" hidden="1" customHeight="1">
      <c r="A5" s="251" t="s">
        <v>66</v>
      </c>
      <c r="B5" s="252"/>
      <c r="C5" s="252"/>
      <c r="D5" s="252"/>
      <c r="E5" s="253" t="s">
        <v>67</v>
      </c>
      <c r="F5" s="255" t="s">
        <v>68</v>
      </c>
    </row>
    <row r="6" spans="1:6" ht="31.5">
      <c r="A6" s="52" t="s">
        <v>353</v>
      </c>
      <c r="B6" s="129" t="s">
        <v>38</v>
      </c>
      <c r="C6" s="53" t="s">
        <v>69</v>
      </c>
      <c r="D6" s="54" t="s">
        <v>70</v>
      </c>
      <c r="E6" s="254"/>
      <c r="F6" s="256"/>
    </row>
    <row r="7" spans="1:6">
      <c r="A7" s="257">
        <v>1</v>
      </c>
      <c r="B7" s="221" t="s">
        <v>333</v>
      </c>
      <c r="C7" s="103" t="s">
        <v>358</v>
      </c>
      <c r="D7" s="120" t="s">
        <v>359</v>
      </c>
      <c r="E7" s="189" t="s">
        <v>16</v>
      </c>
      <c r="F7" s="56"/>
    </row>
    <row r="8" spans="1:6">
      <c r="A8" s="257"/>
      <c r="B8" s="221"/>
      <c r="C8" s="103" t="s">
        <v>357</v>
      </c>
      <c r="D8" s="120" t="s">
        <v>360</v>
      </c>
      <c r="E8" s="189"/>
      <c r="F8" s="56"/>
    </row>
    <row r="9" spans="1:6">
      <c r="A9" s="257"/>
      <c r="B9" s="221"/>
      <c r="C9" s="103" t="s">
        <v>362</v>
      </c>
      <c r="D9" s="120" t="s">
        <v>359</v>
      </c>
      <c r="E9" s="189"/>
      <c r="F9" s="56"/>
    </row>
    <row r="10" spans="1:6" ht="14.25" customHeight="1">
      <c r="A10" s="257"/>
      <c r="B10" s="221"/>
      <c r="C10" s="104" t="s">
        <v>363</v>
      </c>
      <c r="D10" s="120" t="s">
        <v>361</v>
      </c>
      <c r="E10" s="189"/>
      <c r="F10" s="58"/>
    </row>
    <row r="11" spans="1:6" ht="31.5">
      <c r="A11" s="217">
        <v>2</v>
      </c>
      <c r="B11" s="236" t="s">
        <v>196</v>
      </c>
      <c r="C11" s="103" t="s">
        <v>365</v>
      </c>
      <c r="D11" s="120" t="s">
        <v>366</v>
      </c>
      <c r="E11" s="189" t="s">
        <v>16</v>
      </c>
      <c r="F11" s="56"/>
    </row>
    <row r="12" spans="1:6">
      <c r="A12" s="218"/>
      <c r="B12" s="237"/>
      <c r="C12" s="103" t="s">
        <v>367</v>
      </c>
      <c r="D12" s="120"/>
      <c r="E12" s="189"/>
      <c r="F12" s="56"/>
    </row>
    <row r="13" spans="1:6" ht="31.5">
      <c r="A13" s="114">
        <v>3</v>
      </c>
      <c r="B13" s="131" t="s">
        <v>650</v>
      </c>
      <c r="C13" s="103" t="s">
        <v>371</v>
      </c>
      <c r="D13" s="120" t="s">
        <v>370</v>
      </c>
      <c r="E13" s="108" t="s">
        <v>16</v>
      </c>
      <c r="F13" s="56"/>
    </row>
    <row r="14" spans="1:6">
      <c r="A14" s="217">
        <v>4</v>
      </c>
      <c r="B14" s="258" t="s">
        <v>372</v>
      </c>
      <c r="C14" s="103" t="s">
        <v>373</v>
      </c>
      <c r="D14" s="120" t="s">
        <v>374</v>
      </c>
      <c r="E14" s="189" t="s">
        <v>16</v>
      </c>
      <c r="F14" s="56"/>
    </row>
    <row r="15" spans="1:6">
      <c r="A15" s="218"/>
      <c r="B15" s="259"/>
      <c r="C15" s="103" t="s">
        <v>375</v>
      </c>
      <c r="D15" s="120" t="s">
        <v>359</v>
      </c>
      <c r="E15" s="189"/>
      <c r="F15" s="56"/>
    </row>
    <row r="16" spans="1:6">
      <c r="A16" s="217">
        <v>5</v>
      </c>
      <c r="B16" s="236" t="s">
        <v>295</v>
      </c>
      <c r="C16" s="103" t="s">
        <v>373</v>
      </c>
      <c r="D16" s="120" t="s">
        <v>374</v>
      </c>
      <c r="E16" s="189" t="s">
        <v>16</v>
      </c>
      <c r="F16" s="56"/>
    </row>
    <row r="17" spans="1:6">
      <c r="A17" s="218"/>
      <c r="B17" s="237"/>
      <c r="C17" s="103" t="s">
        <v>375</v>
      </c>
      <c r="D17" s="120" t="s">
        <v>359</v>
      </c>
      <c r="E17" s="189"/>
      <c r="F17" s="56"/>
    </row>
    <row r="18" spans="1:6" ht="38.25" customHeight="1">
      <c r="A18" s="114">
        <v>6</v>
      </c>
      <c r="B18" s="131" t="s">
        <v>296</v>
      </c>
      <c r="C18" s="103" t="s">
        <v>377</v>
      </c>
      <c r="D18" s="120" t="s">
        <v>378</v>
      </c>
      <c r="E18" s="113" t="s">
        <v>16</v>
      </c>
      <c r="F18" s="56"/>
    </row>
    <row r="19" spans="1:6">
      <c r="A19" s="217">
        <v>7</v>
      </c>
      <c r="B19" s="221" t="s">
        <v>265</v>
      </c>
      <c r="C19" s="106" t="s">
        <v>380</v>
      </c>
      <c r="D19" s="120" t="s">
        <v>381</v>
      </c>
      <c r="E19" s="189" t="s">
        <v>16</v>
      </c>
      <c r="F19" s="56"/>
    </row>
    <row r="20" spans="1:6">
      <c r="A20" s="218"/>
      <c r="B20" s="221"/>
      <c r="C20" s="136" t="s">
        <v>382</v>
      </c>
      <c r="D20" s="120" t="s">
        <v>360</v>
      </c>
      <c r="E20" s="189"/>
      <c r="F20" s="60"/>
    </row>
    <row r="21" spans="1:6">
      <c r="A21" s="218"/>
      <c r="B21" s="221"/>
      <c r="C21" s="136" t="s">
        <v>383</v>
      </c>
      <c r="D21" s="120" t="s">
        <v>360</v>
      </c>
      <c r="E21" s="189"/>
      <c r="F21" s="56"/>
    </row>
    <row r="22" spans="1:6" ht="31.5">
      <c r="A22" s="217">
        <v>8</v>
      </c>
      <c r="B22" s="236" t="s">
        <v>266</v>
      </c>
      <c r="C22" s="103" t="s">
        <v>385</v>
      </c>
      <c r="D22" s="120" t="s">
        <v>387</v>
      </c>
      <c r="E22" s="189" t="s">
        <v>16</v>
      </c>
      <c r="F22" s="60"/>
    </row>
    <row r="23" spans="1:6" ht="31.5">
      <c r="A23" s="218"/>
      <c r="B23" s="237"/>
      <c r="C23" s="103" t="s">
        <v>386</v>
      </c>
      <c r="D23" s="120" t="s">
        <v>388</v>
      </c>
      <c r="E23" s="189"/>
      <c r="F23" s="60"/>
    </row>
    <row r="24" spans="1:6" ht="21" customHeight="1">
      <c r="A24" s="223"/>
      <c r="B24" s="238"/>
      <c r="C24" s="103" t="s">
        <v>389</v>
      </c>
      <c r="D24" s="120" t="s">
        <v>390</v>
      </c>
      <c r="E24" s="189"/>
      <c r="F24" s="60"/>
    </row>
    <row r="25" spans="1:6" ht="35.85" customHeight="1">
      <c r="A25" s="114">
        <v>9</v>
      </c>
      <c r="B25" s="130" t="s">
        <v>267</v>
      </c>
      <c r="C25" s="104" t="s">
        <v>391</v>
      </c>
      <c r="D25" s="120" t="s">
        <v>390</v>
      </c>
      <c r="E25" s="108" t="s">
        <v>16</v>
      </c>
      <c r="F25" s="56"/>
    </row>
    <row r="26" spans="1:6">
      <c r="A26" s="217">
        <v>10</v>
      </c>
      <c r="B26" s="236" t="s">
        <v>268</v>
      </c>
      <c r="C26" s="103" t="s">
        <v>393</v>
      </c>
      <c r="D26" s="120" t="s">
        <v>390</v>
      </c>
      <c r="E26" s="189" t="s">
        <v>16</v>
      </c>
      <c r="F26" s="56"/>
    </row>
    <row r="27" spans="1:6">
      <c r="A27" s="218"/>
      <c r="B27" s="237"/>
      <c r="C27" s="103" t="s">
        <v>396</v>
      </c>
      <c r="D27" s="120" t="s">
        <v>397</v>
      </c>
      <c r="E27" s="189"/>
      <c r="F27" s="56"/>
    </row>
    <row r="28" spans="1:6">
      <c r="A28" s="217">
        <v>11</v>
      </c>
      <c r="B28" s="236" t="s">
        <v>269</v>
      </c>
      <c r="C28" s="103" t="s">
        <v>395</v>
      </c>
      <c r="D28" s="120"/>
      <c r="E28" s="189" t="s">
        <v>16</v>
      </c>
      <c r="F28" s="56"/>
    </row>
    <row r="29" spans="1:6" hidden="1">
      <c r="A29" s="218"/>
      <c r="B29" s="237"/>
      <c r="C29" s="55"/>
      <c r="D29" s="120"/>
      <c r="E29" s="189"/>
      <c r="F29" s="56"/>
    </row>
    <row r="30" spans="1:6" hidden="1">
      <c r="A30" s="218"/>
      <c r="B30" s="237"/>
      <c r="C30" s="57"/>
      <c r="D30" s="120"/>
      <c r="E30" s="189"/>
      <c r="F30" s="56"/>
    </row>
    <row r="31" spans="1:6" hidden="1">
      <c r="A31" s="218"/>
      <c r="B31" s="237"/>
      <c r="C31" s="57"/>
      <c r="D31" s="120"/>
      <c r="E31" s="189"/>
      <c r="F31" s="60"/>
    </row>
    <row r="32" spans="1:6" hidden="1">
      <c r="A32" s="218"/>
      <c r="B32" s="237"/>
      <c r="C32" s="55"/>
      <c r="D32" s="120"/>
      <c r="E32" s="189"/>
      <c r="F32" s="60"/>
    </row>
    <row r="33" spans="1:6" hidden="1">
      <c r="A33" s="218"/>
      <c r="B33" s="237"/>
      <c r="C33" s="55"/>
      <c r="D33" s="120"/>
      <c r="E33" s="189"/>
      <c r="F33" s="60"/>
    </row>
    <row r="34" spans="1:6" ht="17.100000000000001" hidden="1" customHeight="1">
      <c r="A34" s="223"/>
      <c r="B34" s="238"/>
      <c r="C34" s="55"/>
      <c r="D34" s="120"/>
      <c r="E34" s="189"/>
      <c r="F34" s="60"/>
    </row>
    <row r="35" spans="1:6" ht="17.25" customHeight="1">
      <c r="A35" s="217">
        <v>12</v>
      </c>
      <c r="B35" s="221" t="s">
        <v>144</v>
      </c>
      <c r="C35" s="103" t="s">
        <v>401</v>
      </c>
      <c r="D35" s="120" t="s">
        <v>400</v>
      </c>
      <c r="E35" s="189" t="s">
        <v>16</v>
      </c>
      <c r="F35" s="56"/>
    </row>
    <row r="36" spans="1:6">
      <c r="A36" s="218"/>
      <c r="B36" s="221"/>
      <c r="C36" s="103" t="s">
        <v>402</v>
      </c>
      <c r="D36" s="120" t="s">
        <v>400</v>
      </c>
      <c r="E36" s="189"/>
      <c r="F36" s="56"/>
    </row>
    <row r="37" spans="1:6">
      <c r="A37" s="218"/>
      <c r="B37" s="221"/>
      <c r="C37" s="103" t="s">
        <v>403</v>
      </c>
      <c r="D37" s="120" t="s">
        <v>404</v>
      </c>
      <c r="E37" s="189"/>
      <c r="F37" s="56"/>
    </row>
    <row r="38" spans="1:6">
      <c r="A38" s="217">
        <v>13</v>
      </c>
      <c r="B38" s="221" t="s">
        <v>117</v>
      </c>
      <c r="C38" s="103" t="s">
        <v>406</v>
      </c>
      <c r="D38" s="120" t="s">
        <v>407</v>
      </c>
      <c r="E38" s="189" t="s">
        <v>16</v>
      </c>
      <c r="F38" s="56"/>
    </row>
    <row r="39" spans="1:6">
      <c r="A39" s="218"/>
      <c r="B39" s="221"/>
      <c r="C39" s="103" t="s">
        <v>408</v>
      </c>
      <c r="D39" s="120" t="s">
        <v>404</v>
      </c>
      <c r="E39" s="189"/>
      <c r="F39" s="56"/>
    </row>
    <row r="40" spans="1:6">
      <c r="A40" s="214">
        <v>14</v>
      </c>
      <c r="B40" s="211" t="s">
        <v>98</v>
      </c>
      <c r="C40" s="103" t="s">
        <v>503</v>
      </c>
      <c r="D40" s="120" t="s">
        <v>400</v>
      </c>
      <c r="E40" s="200" t="s">
        <v>16</v>
      </c>
      <c r="F40" s="56"/>
    </row>
    <row r="41" spans="1:6">
      <c r="A41" s="215"/>
      <c r="B41" s="212"/>
      <c r="C41" s="103" t="s">
        <v>504</v>
      </c>
      <c r="D41" s="120" t="s">
        <v>400</v>
      </c>
      <c r="E41" s="206"/>
      <c r="F41" s="56"/>
    </row>
    <row r="42" spans="1:6">
      <c r="A42" s="216"/>
      <c r="B42" s="213"/>
      <c r="C42" s="103" t="s">
        <v>506</v>
      </c>
      <c r="D42" s="120" t="s">
        <v>505</v>
      </c>
      <c r="E42" s="201"/>
      <c r="F42" s="56"/>
    </row>
    <row r="43" spans="1:6">
      <c r="A43" s="217">
        <v>15</v>
      </c>
      <c r="B43" s="211" t="s">
        <v>119</v>
      </c>
      <c r="C43" s="103" t="s">
        <v>507</v>
      </c>
      <c r="D43" s="120" t="s">
        <v>508</v>
      </c>
      <c r="E43" s="200" t="s">
        <v>16</v>
      </c>
      <c r="F43" s="56"/>
    </row>
    <row r="44" spans="1:6">
      <c r="A44" s="218"/>
      <c r="B44" s="212"/>
      <c r="C44" s="103" t="s">
        <v>509</v>
      </c>
      <c r="D44" s="120" t="s">
        <v>400</v>
      </c>
      <c r="E44" s="206"/>
      <c r="F44" s="56"/>
    </row>
    <row r="45" spans="1:6">
      <c r="A45" s="218"/>
      <c r="B45" s="213"/>
      <c r="C45" s="103" t="s">
        <v>510</v>
      </c>
      <c r="D45" s="120" t="s">
        <v>508</v>
      </c>
      <c r="E45" s="201"/>
      <c r="F45" s="56"/>
    </row>
    <row r="46" spans="1:6" ht="31.5">
      <c r="A46" s="219">
        <v>16</v>
      </c>
      <c r="B46" s="211" t="s">
        <v>121</v>
      </c>
      <c r="C46" s="103" t="s">
        <v>511</v>
      </c>
      <c r="D46" s="120" t="s">
        <v>400</v>
      </c>
      <c r="E46" s="200" t="s">
        <v>16</v>
      </c>
      <c r="F46" s="56"/>
    </row>
    <row r="47" spans="1:6" ht="31.5">
      <c r="A47" s="220"/>
      <c r="B47" s="213"/>
      <c r="C47" s="103" t="s">
        <v>512</v>
      </c>
      <c r="D47" s="120" t="s">
        <v>508</v>
      </c>
      <c r="E47" s="201"/>
      <c r="F47" s="56"/>
    </row>
    <row r="48" spans="1:6">
      <c r="A48" s="217">
        <v>17</v>
      </c>
      <c r="B48" s="221" t="s">
        <v>164</v>
      </c>
      <c r="C48" s="103" t="s">
        <v>416</v>
      </c>
      <c r="D48" s="120" t="s">
        <v>419</v>
      </c>
      <c r="E48" s="189" t="s">
        <v>16</v>
      </c>
      <c r="F48" s="56"/>
    </row>
    <row r="49" spans="1:6">
      <c r="A49" s="218"/>
      <c r="B49" s="221"/>
      <c r="C49" s="103" t="s">
        <v>417</v>
      </c>
      <c r="D49" s="120" t="s">
        <v>419</v>
      </c>
      <c r="E49" s="189"/>
      <c r="F49" s="58"/>
    </row>
    <row r="50" spans="1:6">
      <c r="A50" s="114">
        <v>18</v>
      </c>
      <c r="B50" s="131" t="s">
        <v>165</v>
      </c>
      <c r="C50" s="103" t="s">
        <v>420</v>
      </c>
      <c r="D50" s="120" t="s">
        <v>421</v>
      </c>
      <c r="E50" s="108" t="s">
        <v>16</v>
      </c>
      <c r="F50" s="56"/>
    </row>
    <row r="51" spans="1:6">
      <c r="A51" s="217">
        <v>19</v>
      </c>
      <c r="B51" s="222" t="s">
        <v>166</v>
      </c>
      <c r="C51" s="103" t="s">
        <v>416</v>
      </c>
      <c r="D51" s="120" t="s">
        <v>419</v>
      </c>
      <c r="E51" s="189" t="s">
        <v>16</v>
      </c>
      <c r="F51" s="56"/>
    </row>
    <row r="52" spans="1:6">
      <c r="A52" s="218"/>
      <c r="B52" s="222"/>
      <c r="C52" s="103" t="s">
        <v>417</v>
      </c>
      <c r="D52" s="120" t="s">
        <v>419</v>
      </c>
      <c r="E52" s="189"/>
      <c r="F52" s="58"/>
    </row>
    <row r="53" spans="1:6" ht="15.95" customHeight="1">
      <c r="A53" s="217">
        <v>20</v>
      </c>
      <c r="B53" s="224" t="s">
        <v>424</v>
      </c>
      <c r="C53" s="103" t="s">
        <v>425</v>
      </c>
      <c r="D53" s="120" t="s">
        <v>426</v>
      </c>
      <c r="E53" s="200" t="s">
        <v>16</v>
      </c>
      <c r="F53" s="56"/>
    </row>
    <row r="54" spans="1:6">
      <c r="A54" s="218"/>
      <c r="B54" s="225"/>
      <c r="C54" s="103" t="s">
        <v>427</v>
      </c>
      <c r="D54" s="120" t="s">
        <v>426</v>
      </c>
      <c r="E54" s="206"/>
      <c r="F54" s="58"/>
    </row>
    <row r="55" spans="1:6">
      <c r="A55" s="218"/>
      <c r="B55" s="225"/>
      <c r="C55" s="103" t="s">
        <v>428</v>
      </c>
      <c r="D55" s="120" t="s">
        <v>426</v>
      </c>
      <c r="E55" s="206"/>
      <c r="F55" s="58"/>
    </row>
    <row r="56" spans="1:6">
      <c r="A56" s="218"/>
      <c r="B56" s="225"/>
      <c r="C56" s="103" t="s">
        <v>429</v>
      </c>
      <c r="D56" s="120" t="s">
        <v>426</v>
      </c>
      <c r="E56" s="206"/>
      <c r="F56" s="58"/>
    </row>
    <row r="57" spans="1:6">
      <c r="A57" s="218"/>
      <c r="B57" s="225"/>
      <c r="C57" s="111" t="s">
        <v>430</v>
      </c>
      <c r="D57" s="120" t="s">
        <v>426</v>
      </c>
      <c r="E57" s="206"/>
      <c r="F57" s="58"/>
    </row>
    <row r="58" spans="1:6">
      <c r="A58" s="218"/>
      <c r="B58" s="225"/>
      <c r="C58" s="111" t="s">
        <v>431</v>
      </c>
      <c r="D58" s="120" t="s">
        <v>426</v>
      </c>
      <c r="E58" s="206"/>
      <c r="F58" s="58"/>
    </row>
    <row r="59" spans="1:6">
      <c r="A59" s="218"/>
      <c r="B59" s="225"/>
      <c r="C59" s="111" t="s">
        <v>432</v>
      </c>
      <c r="D59" s="120" t="s">
        <v>426</v>
      </c>
      <c r="E59" s="206"/>
      <c r="F59" s="58"/>
    </row>
    <row r="60" spans="1:6">
      <c r="A60" s="218"/>
      <c r="B60" s="225"/>
      <c r="C60" s="111" t="s">
        <v>433</v>
      </c>
      <c r="D60" s="120" t="s">
        <v>426</v>
      </c>
      <c r="E60" s="206"/>
      <c r="F60" s="58"/>
    </row>
    <row r="61" spans="1:6">
      <c r="A61" s="218"/>
      <c r="B61" s="225"/>
      <c r="C61" s="111" t="s">
        <v>434</v>
      </c>
      <c r="D61" s="120" t="s">
        <v>426</v>
      </c>
      <c r="E61" s="206"/>
      <c r="F61" s="58"/>
    </row>
    <row r="62" spans="1:6" ht="31.5">
      <c r="A62" s="223"/>
      <c r="B62" s="226"/>
      <c r="C62" s="111" t="s">
        <v>435</v>
      </c>
      <c r="D62" s="120" t="s">
        <v>426</v>
      </c>
      <c r="E62" s="201"/>
      <c r="F62" s="58"/>
    </row>
    <row r="63" spans="1:6">
      <c r="A63" s="217">
        <v>21</v>
      </c>
      <c r="B63" s="222" t="s">
        <v>233</v>
      </c>
      <c r="C63" s="103" t="s">
        <v>437</v>
      </c>
      <c r="D63" s="120" t="s">
        <v>426</v>
      </c>
      <c r="E63" s="189" t="s">
        <v>16</v>
      </c>
      <c r="F63" s="56"/>
    </row>
    <row r="64" spans="1:6">
      <c r="A64" s="218"/>
      <c r="B64" s="222"/>
      <c r="C64" s="103" t="s">
        <v>438</v>
      </c>
      <c r="D64" s="120" t="s">
        <v>426</v>
      </c>
      <c r="E64" s="189"/>
      <c r="F64" s="58"/>
    </row>
    <row r="65" spans="1:6">
      <c r="A65" s="218"/>
      <c r="B65" s="222"/>
      <c r="C65" s="103" t="s">
        <v>439</v>
      </c>
      <c r="D65" s="120" t="s">
        <v>426</v>
      </c>
      <c r="E65" s="189"/>
      <c r="F65" s="58"/>
    </row>
    <row r="66" spans="1:6">
      <c r="A66" s="218"/>
      <c r="B66" s="222"/>
      <c r="C66" s="103" t="s">
        <v>440</v>
      </c>
      <c r="D66" s="120" t="s">
        <v>426</v>
      </c>
      <c r="E66" s="189"/>
      <c r="F66" s="58"/>
    </row>
    <row r="67" spans="1:6">
      <c r="A67" s="218"/>
      <c r="B67" s="222"/>
      <c r="C67" s="111" t="s">
        <v>441</v>
      </c>
      <c r="D67" s="120" t="s">
        <v>426</v>
      </c>
      <c r="E67" s="189"/>
      <c r="F67" s="58"/>
    </row>
    <row r="68" spans="1:6">
      <c r="A68" s="218"/>
      <c r="B68" s="222"/>
      <c r="C68" s="111" t="s">
        <v>442</v>
      </c>
      <c r="D68" s="120" t="s">
        <v>426</v>
      </c>
      <c r="E68" s="189"/>
      <c r="F68" s="58"/>
    </row>
    <row r="69" spans="1:6">
      <c r="A69" s="217">
        <v>22</v>
      </c>
      <c r="B69" s="222" t="s">
        <v>234</v>
      </c>
      <c r="C69" s="103" t="s">
        <v>444</v>
      </c>
      <c r="D69" s="120" t="s">
        <v>426</v>
      </c>
      <c r="E69" s="189" t="s">
        <v>16</v>
      </c>
      <c r="F69" s="56"/>
    </row>
    <row r="70" spans="1:6">
      <c r="A70" s="218"/>
      <c r="B70" s="222"/>
      <c r="C70" s="103" t="s">
        <v>445</v>
      </c>
      <c r="D70" s="120" t="s">
        <v>426</v>
      </c>
      <c r="E70" s="189"/>
      <c r="F70" s="58"/>
    </row>
    <row r="71" spans="1:6">
      <c r="A71" s="218"/>
      <c r="B71" s="222"/>
      <c r="C71" s="103" t="s">
        <v>446</v>
      </c>
      <c r="D71" s="120" t="s">
        <v>426</v>
      </c>
      <c r="E71" s="189"/>
      <c r="F71" s="58"/>
    </row>
    <row r="72" spans="1:6">
      <c r="A72" s="218"/>
      <c r="B72" s="222"/>
      <c r="C72" s="103" t="s">
        <v>447</v>
      </c>
      <c r="D72" s="120" t="s">
        <v>426</v>
      </c>
      <c r="E72" s="189"/>
      <c r="F72" s="58"/>
    </row>
    <row r="73" spans="1:6">
      <c r="A73" s="218"/>
      <c r="B73" s="222"/>
      <c r="C73" s="111" t="s">
        <v>448</v>
      </c>
      <c r="D73" s="120" t="s">
        <v>426</v>
      </c>
      <c r="E73" s="189"/>
      <c r="F73" s="58"/>
    </row>
    <row r="74" spans="1:6" ht="15.95" customHeight="1">
      <c r="A74" s="217">
        <v>23</v>
      </c>
      <c r="B74" s="224" t="s">
        <v>235</v>
      </c>
      <c r="C74" s="103" t="s">
        <v>425</v>
      </c>
      <c r="D74" s="120" t="s">
        <v>426</v>
      </c>
      <c r="E74" s="200" t="s">
        <v>16</v>
      </c>
      <c r="F74" s="56"/>
    </row>
    <row r="75" spans="1:6">
      <c r="A75" s="218"/>
      <c r="B75" s="225"/>
      <c r="C75" s="103" t="s">
        <v>427</v>
      </c>
      <c r="D75" s="120" t="s">
        <v>426</v>
      </c>
      <c r="E75" s="206"/>
      <c r="F75" s="58"/>
    </row>
    <row r="76" spans="1:6">
      <c r="A76" s="218"/>
      <c r="B76" s="225"/>
      <c r="C76" s="103" t="s">
        <v>428</v>
      </c>
      <c r="D76" s="120" t="s">
        <v>426</v>
      </c>
      <c r="E76" s="206"/>
      <c r="F76" s="58"/>
    </row>
    <row r="77" spans="1:6">
      <c r="A77" s="218"/>
      <c r="B77" s="225"/>
      <c r="C77" s="103" t="s">
        <v>429</v>
      </c>
      <c r="D77" s="120" t="s">
        <v>426</v>
      </c>
      <c r="E77" s="206"/>
      <c r="F77" s="58"/>
    </row>
    <row r="78" spans="1:6">
      <c r="A78" s="218"/>
      <c r="B78" s="225"/>
      <c r="C78" s="111" t="s">
        <v>430</v>
      </c>
      <c r="D78" s="120" t="s">
        <v>426</v>
      </c>
      <c r="E78" s="206"/>
      <c r="F78" s="58"/>
    </row>
    <row r="79" spans="1:6">
      <c r="A79" s="218"/>
      <c r="B79" s="225"/>
      <c r="C79" s="111" t="s">
        <v>431</v>
      </c>
      <c r="D79" s="120" t="s">
        <v>426</v>
      </c>
      <c r="E79" s="206"/>
      <c r="F79" s="58"/>
    </row>
    <row r="80" spans="1:6">
      <c r="A80" s="218"/>
      <c r="B80" s="225"/>
      <c r="C80" s="111" t="s">
        <v>432</v>
      </c>
      <c r="D80" s="120" t="s">
        <v>426</v>
      </c>
      <c r="E80" s="206"/>
      <c r="F80" s="58"/>
    </row>
    <row r="81" spans="1:6">
      <c r="A81" s="218"/>
      <c r="B81" s="225"/>
      <c r="C81" s="111" t="s">
        <v>433</v>
      </c>
      <c r="D81" s="120" t="s">
        <v>426</v>
      </c>
      <c r="E81" s="206"/>
      <c r="F81" s="56"/>
    </row>
    <row r="82" spans="1:6" ht="31.5">
      <c r="A82" s="218"/>
      <c r="B82" s="225"/>
      <c r="C82" s="111" t="s">
        <v>435</v>
      </c>
      <c r="D82" s="120" t="s">
        <v>426</v>
      </c>
      <c r="E82" s="206"/>
      <c r="F82" s="58"/>
    </row>
    <row r="83" spans="1:6">
      <c r="A83" s="218"/>
      <c r="B83" s="225"/>
      <c r="C83" s="103" t="s">
        <v>450</v>
      </c>
      <c r="D83" s="120" t="s">
        <v>426</v>
      </c>
      <c r="E83" s="206"/>
      <c r="F83" s="58"/>
    </row>
    <row r="84" spans="1:6">
      <c r="A84" s="218"/>
      <c r="B84" s="225"/>
      <c r="C84" s="111" t="s">
        <v>451</v>
      </c>
      <c r="D84" s="120" t="s">
        <v>426</v>
      </c>
      <c r="E84" s="206"/>
      <c r="F84" s="58"/>
    </row>
    <row r="85" spans="1:6">
      <c r="A85" s="218"/>
      <c r="B85" s="225"/>
      <c r="C85" s="111" t="s">
        <v>452</v>
      </c>
      <c r="D85" s="120" t="s">
        <v>426</v>
      </c>
      <c r="E85" s="201"/>
      <c r="F85" s="58"/>
    </row>
    <row r="86" spans="1:6">
      <c r="A86" s="193">
        <v>24</v>
      </c>
      <c r="B86" s="209" t="s">
        <v>236</v>
      </c>
      <c r="C86" s="110" t="s">
        <v>453</v>
      </c>
      <c r="D86" s="121" t="s">
        <v>426</v>
      </c>
      <c r="E86" s="189" t="s">
        <v>16</v>
      </c>
      <c r="F86" s="112"/>
    </row>
    <row r="87" spans="1:6">
      <c r="A87" s="194"/>
      <c r="B87" s="209"/>
      <c r="C87" s="110" t="s">
        <v>454</v>
      </c>
      <c r="D87" s="121" t="s">
        <v>426</v>
      </c>
      <c r="E87" s="189"/>
      <c r="F87" s="112"/>
    </row>
    <row r="88" spans="1:6">
      <c r="A88" s="194"/>
      <c r="B88" s="209"/>
      <c r="C88" s="110" t="s">
        <v>455</v>
      </c>
      <c r="D88" s="121" t="s">
        <v>426</v>
      </c>
      <c r="E88" s="189"/>
      <c r="F88" s="112"/>
    </row>
    <row r="89" spans="1:6">
      <c r="A89" s="194"/>
      <c r="B89" s="209"/>
      <c r="C89" s="110" t="s">
        <v>456</v>
      </c>
      <c r="D89" s="121" t="s">
        <v>426</v>
      </c>
      <c r="E89" s="189"/>
      <c r="F89" s="112"/>
    </row>
    <row r="90" spans="1:6">
      <c r="A90" s="199">
        <v>25</v>
      </c>
      <c r="B90" s="209" t="s">
        <v>237</v>
      </c>
      <c r="C90" s="110" t="s">
        <v>457</v>
      </c>
      <c r="D90" s="121" t="s">
        <v>426</v>
      </c>
      <c r="E90" s="189" t="s">
        <v>16</v>
      </c>
      <c r="F90" s="112"/>
    </row>
    <row r="91" spans="1:6">
      <c r="A91" s="199"/>
      <c r="B91" s="209"/>
      <c r="C91" s="110" t="s">
        <v>458</v>
      </c>
      <c r="D91" s="121" t="s">
        <v>426</v>
      </c>
      <c r="E91" s="189"/>
      <c r="F91" s="112"/>
    </row>
    <row r="92" spans="1:6">
      <c r="A92" s="199">
        <v>26</v>
      </c>
      <c r="B92" s="202" t="s">
        <v>238</v>
      </c>
      <c r="C92" s="110" t="s">
        <v>460</v>
      </c>
      <c r="D92" s="121" t="s">
        <v>426</v>
      </c>
      <c r="E92" s="189" t="s">
        <v>16</v>
      </c>
      <c r="F92" s="112"/>
    </row>
    <row r="93" spans="1:6">
      <c r="A93" s="199"/>
      <c r="B93" s="202"/>
      <c r="C93" s="104" t="s">
        <v>461</v>
      </c>
      <c r="D93" s="121" t="s">
        <v>426</v>
      </c>
      <c r="E93" s="189"/>
      <c r="F93" s="112"/>
    </row>
    <row r="94" spans="1:6">
      <c r="A94" s="199">
        <v>27</v>
      </c>
      <c r="B94" s="209" t="s">
        <v>337</v>
      </c>
      <c r="C94" s="110" t="s">
        <v>463</v>
      </c>
      <c r="D94" s="121" t="s">
        <v>464</v>
      </c>
      <c r="E94" s="200" t="s">
        <v>16</v>
      </c>
      <c r="F94" s="112"/>
    </row>
    <row r="95" spans="1:6">
      <c r="A95" s="199"/>
      <c r="B95" s="209"/>
      <c r="C95" s="110" t="s">
        <v>465</v>
      </c>
      <c r="D95" s="121" t="s">
        <v>466</v>
      </c>
      <c r="E95" s="206"/>
      <c r="F95" s="112"/>
    </row>
    <row r="96" spans="1:6">
      <c r="A96" s="199"/>
      <c r="B96" s="209"/>
      <c r="C96" s="110" t="s">
        <v>467</v>
      </c>
      <c r="D96" s="121" t="s">
        <v>468</v>
      </c>
      <c r="E96" s="201"/>
      <c r="F96" s="112"/>
    </row>
    <row r="97" spans="1:6">
      <c r="A97" s="116">
        <v>28</v>
      </c>
      <c r="B97" s="134" t="s">
        <v>251</v>
      </c>
      <c r="C97" s="110" t="s">
        <v>470</v>
      </c>
      <c r="D97" s="121" t="s">
        <v>471</v>
      </c>
      <c r="E97" s="113" t="s">
        <v>16</v>
      </c>
      <c r="F97" s="112"/>
    </row>
    <row r="98" spans="1:6">
      <c r="A98" s="199">
        <v>29</v>
      </c>
      <c r="B98" s="202" t="s">
        <v>252</v>
      </c>
      <c r="C98" s="110" t="s">
        <v>473</v>
      </c>
      <c r="D98" s="121" t="s">
        <v>466</v>
      </c>
      <c r="E98" s="200" t="s">
        <v>16</v>
      </c>
      <c r="F98" s="112"/>
    </row>
    <row r="99" spans="1:6">
      <c r="A99" s="199"/>
      <c r="B99" s="202"/>
      <c r="C99" s="110" t="s">
        <v>474</v>
      </c>
      <c r="D99" s="121" t="s">
        <v>466</v>
      </c>
      <c r="E99" s="201"/>
      <c r="F99" s="112"/>
    </row>
    <row r="100" spans="1:6">
      <c r="A100" s="199">
        <v>30</v>
      </c>
      <c r="B100" s="202" t="s">
        <v>253</v>
      </c>
      <c r="C100" s="110" t="s">
        <v>473</v>
      </c>
      <c r="D100" s="121" t="s">
        <v>466</v>
      </c>
      <c r="E100" s="200" t="s">
        <v>16</v>
      </c>
      <c r="F100" s="112"/>
    </row>
    <row r="101" spans="1:6">
      <c r="A101" s="199"/>
      <c r="B101" s="202"/>
      <c r="C101" s="110" t="s">
        <v>474</v>
      </c>
      <c r="D101" s="121" t="s">
        <v>466</v>
      </c>
      <c r="E101" s="201"/>
      <c r="F101" s="112"/>
    </row>
    <row r="102" spans="1:6" ht="31.5">
      <c r="A102" s="117">
        <v>31</v>
      </c>
      <c r="B102" s="133" t="s">
        <v>254</v>
      </c>
      <c r="C102" s="137" t="s">
        <v>477</v>
      </c>
      <c r="D102" s="122" t="s">
        <v>478</v>
      </c>
      <c r="E102" s="108" t="s">
        <v>16</v>
      </c>
      <c r="F102" s="112"/>
    </row>
    <row r="103" spans="1:6">
      <c r="A103" s="199">
        <v>32</v>
      </c>
      <c r="B103" s="202" t="s">
        <v>255</v>
      </c>
      <c r="C103" s="137" t="s">
        <v>481</v>
      </c>
      <c r="D103" s="121" t="s">
        <v>471</v>
      </c>
      <c r="E103" s="189" t="s">
        <v>16</v>
      </c>
      <c r="F103" s="112"/>
    </row>
    <row r="104" spans="1:6">
      <c r="A104" s="199"/>
      <c r="B104" s="202"/>
      <c r="C104" s="137" t="s">
        <v>482</v>
      </c>
      <c r="D104" s="121" t="s">
        <v>471</v>
      </c>
      <c r="E104" s="189"/>
      <c r="F104" s="112"/>
    </row>
    <row r="105" spans="1:6" ht="63">
      <c r="A105" s="116">
        <v>33</v>
      </c>
      <c r="B105" s="135" t="s">
        <v>213</v>
      </c>
      <c r="C105" s="71" t="s">
        <v>484</v>
      </c>
      <c r="D105" s="121" t="s">
        <v>485</v>
      </c>
      <c r="E105" s="108" t="s">
        <v>16</v>
      </c>
      <c r="F105" s="112"/>
    </row>
    <row r="106" spans="1:6">
      <c r="A106" s="199">
        <v>34</v>
      </c>
      <c r="B106" s="202" t="s">
        <v>487</v>
      </c>
      <c r="C106" s="71" t="s">
        <v>490</v>
      </c>
      <c r="D106" s="121" t="s">
        <v>494</v>
      </c>
      <c r="E106" s="200" t="s">
        <v>16</v>
      </c>
      <c r="F106" s="112"/>
    </row>
    <row r="107" spans="1:6" ht="31.5">
      <c r="A107" s="199"/>
      <c r="B107" s="209"/>
      <c r="C107" s="71" t="s">
        <v>488</v>
      </c>
      <c r="D107" s="121" t="s">
        <v>493</v>
      </c>
      <c r="E107" s="206"/>
      <c r="F107" s="112"/>
    </row>
    <row r="108" spans="1:6">
      <c r="A108" s="199"/>
      <c r="B108" s="209"/>
      <c r="C108" s="71" t="s">
        <v>489</v>
      </c>
      <c r="D108" s="121" t="s">
        <v>492</v>
      </c>
      <c r="E108" s="206"/>
      <c r="F108" s="112"/>
    </row>
    <row r="109" spans="1:6">
      <c r="A109" s="199"/>
      <c r="B109" s="209"/>
      <c r="C109" s="137" t="s">
        <v>491</v>
      </c>
      <c r="D109" s="121" t="s">
        <v>493</v>
      </c>
      <c r="E109" s="201"/>
      <c r="F109" s="112"/>
    </row>
    <row r="110" spans="1:6" ht="78.75">
      <c r="A110" s="199">
        <v>35</v>
      </c>
      <c r="B110" s="209" t="s">
        <v>216</v>
      </c>
      <c r="C110" s="71" t="s">
        <v>496</v>
      </c>
      <c r="D110" s="121" t="s">
        <v>493</v>
      </c>
      <c r="E110" s="189" t="s">
        <v>16</v>
      </c>
      <c r="F110" s="112"/>
    </row>
    <row r="111" spans="1:6">
      <c r="A111" s="199"/>
      <c r="B111" s="209"/>
      <c r="C111" s="137" t="s">
        <v>497</v>
      </c>
      <c r="D111" s="121" t="s">
        <v>498</v>
      </c>
      <c r="E111" s="189"/>
      <c r="F111" s="112"/>
    </row>
    <row r="112" spans="1:6">
      <c r="A112" s="199">
        <v>36</v>
      </c>
      <c r="B112" s="209" t="s">
        <v>126</v>
      </c>
      <c r="C112" s="71" t="s">
        <v>501</v>
      </c>
      <c r="D112" s="121" t="s">
        <v>494</v>
      </c>
      <c r="E112" s="189" t="s">
        <v>16</v>
      </c>
      <c r="F112" s="112"/>
    </row>
    <row r="113" spans="1:6">
      <c r="A113" s="199"/>
      <c r="B113" s="209"/>
      <c r="C113" s="137" t="s">
        <v>500</v>
      </c>
      <c r="D113" s="121" t="s">
        <v>502</v>
      </c>
      <c r="E113" s="189"/>
      <c r="F113" s="112"/>
    </row>
    <row r="114" spans="1:6">
      <c r="A114" s="199">
        <v>37</v>
      </c>
      <c r="B114" s="202" t="s">
        <v>90</v>
      </c>
      <c r="C114" s="71" t="s">
        <v>490</v>
      </c>
      <c r="D114" s="121" t="s">
        <v>494</v>
      </c>
      <c r="E114" s="200" t="s">
        <v>16</v>
      </c>
      <c r="F114" s="112"/>
    </row>
    <row r="115" spans="1:6" ht="31.5">
      <c r="A115" s="199"/>
      <c r="B115" s="202"/>
      <c r="C115" s="71" t="s">
        <v>488</v>
      </c>
      <c r="D115" s="121" t="s">
        <v>493</v>
      </c>
      <c r="E115" s="206"/>
      <c r="F115" s="112"/>
    </row>
    <row r="116" spans="1:6">
      <c r="A116" s="199"/>
      <c r="B116" s="202"/>
      <c r="C116" s="71" t="s">
        <v>489</v>
      </c>
      <c r="D116" s="121" t="s">
        <v>492</v>
      </c>
      <c r="E116" s="206"/>
      <c r="F116" s="112"/>
    </row>
    <row r="117" spans="1:6">
      <c r="A117" s="199"/>
      <c r="B117" s="202"/>
      <c r="C117" s="137" t="s">
        <v>491</v>
      </c>
      <c r="D117" s="121" t="s">
        <v>493</v>
      </c>
      <c r="E117" s="201"/>
      <c r="F117" s="112"/>
    </row>
    <row r="118" spans="1:6">
      <c r="A118" s="199">
        <v>38</v>
      </c>
      <c r="B118" s="227" t="s">
        <v>322</v>
      </c>
      <c r="C118" s="137" t="s">
        <v>514</v>
      </c>
      <c r="D118" s="121" t="s">
        <v>516</v>
      </c>
      <c r="E118" s="200" t="s">
        <v>16</v>
      </c>
      <c r="F118" s="112"/>
    </row>
    <row r="119" spans="1:6">
      <c r="A119" s="199"/>
      <c r="B119" s="228"/>
      <c r="C119" s="137" t="s">
        <v>515</v>
      </c>
      <c r="D119" s="121" t="s">
        <v>517</v>
      </c>
      <c r="E119" s="206"/>
      <c r="F119" s="112"/>
    </row>
    <row r="120" spans="1:6">
      <c r="A120" s="114">
        <v>39</v>
      </c>
      <c r="B120" s="131" t="s">
        <v>162</v>
      </c>
      <c r="C120" s="71" t="s">
        <v>413</v>
      </c>
      <c r="D120" s="120" t="s">
        <v>390</v>
      </c>
      <c r="E120" s="108" t="s">
        <v>16</v>
      </c>
      <c r="F120" s="56"/>
    </row>
    <row r="121" spans="1:6" ht="31.5">
      <c r="A121" s="114">
        <v>40</v>
      </c>
      <c r="B121" s="150" t="s">
        <v>163</v>
      </c>
      <c r="C121" s="103" t="s">
        <v>414</v>
      </c>
      <c r="D121" s="120" t="s">
        <v>651</v>
      </c>
      <c r="E121" s="113" t="s">
        <v>16</v>
      </c>
      <c r="F121" s="56"/>
    </row>
    <row r="122" spans="1:6">
      <c r="A122" s="117">
        <v>41</v>
      </c>
      <c r="B122" s="132" t="s">
        <v>167</v>
      </c>
      <c r="C122" s="137" t="s">
        <v>520</v>
      </c>
      <c r="D122" s="121" t="s">
        <v>521</v>
      </c>
      <c r="E122" s="113" t="s">
        <v>16</v>
      </c>
      <c r="F122" s="112"/>
    </row>
    <row r="123" spans="1:6">
      <c r="A123" s="199">
        <v>42</v>
      </c>
      <c r="B123" s="227" t="s">
        <v>323</v>
      </c>
      <c r="C123" s="137" t="s">
        <v>522</v>
      </c>
      <c r="D123" s="121" t="s">
        <v>521</v>
      </c>
      <c r="E123" s="200" t="s">
        <v>16</v>
      </c>
      <c r="F123" s="112"/>
    </row>
    <row r="124" spans="1:6">
      <c r="A124" s="199"/>
      <c r="B124" s="228"/>
      <c r="C124" s="137" t="s">
        <v>523</v>
      </c>
      <c r="D124" s="121" t="s">
        <v>531</v>
      </c>
      <c r="E124" s="206"/>
      <c r="F124" s="112"/>
    </row>
    <row r="125" spans="1:6">
      <c r="A125" s="199">
        <v>43</v>
      </c>
      <c r="B125" s="227" t="s">
        <v>168</v>
      </c>
      <c r="C125" s="138" t="s">
        <v>524</v>
      </c>
      <c r="D125" s="121" t="s">
        <v>521</v>
      </c>
      <c r="E125" s="200" t="s">
        <v>16</v>
      </c>
      <c r="F125" s="112"/>
    </row>
    <row r="126" spans="1:6">
      <c r="A126" s="199"/>
      <c r="B126" s="228"/>
      <c r="C126" s="138" t="s">
        <v>518</v>
      </c>
      <c r="D126" s="121" t="s">
        <v>532</v>
      </c>
      <c r="E126" s="206"/>
      <c r="F126" s="112"/>
    </row>
    <row r="127" spans="1:6">
      <c r="A127" s="199"/>
      <c r="B127" s="228"/>
      <c r="C127" s="138" t="s">
        <v>526</v>
      </c>
      <c r="D127" s="121" t="s">
        <v>532</v>
      </c>
      <c r="E127" s="206"/>
      <c r="F127" s="112"/>
    </row>
    <row r="128" spans="1:6">
      <c r="A128" s="199">
        <v>44</v>
      </c>
      <c r="B128" s="227" t="s">
        <v>169</v>
      </c>
      <c r="C128" s="138" t="s">
        <v>528</v>
      </c>
      <c r="D128" s="121" t="s">
        <v>521</v>
      </c>
      <c r="E128" s="200" t="s">
        <v>16</v>
      </c>
      <c r="F128" s="112"/>
    </row>
    <row r="129" spans="1:6">
      <c r="A129" s="199"/>
      <c r="B129" s="228"/>
      <c r="C129" s="138" t="s">
        <v>529</v>
      </c>
      <c r="D129" s="121" t="s">
        <v>521</v>
      </c>
      <c r="E129" s="206"/>
      <c r="F129" s="112"/>
    </row>
    <row r="130" spans="1:6">
      <c r="A130" s="199"/>
      <c r="B130" s="228"/>
      <c r="C130" s="137" t="s">
        <v>530</v>
      </c>
      <c r="D130" s="121" t="s">
        <v>521</v>
      </c>
      <c r="E130" s="206"/>
      <c r="F130" s="112"/>
    </row>
    <row r="131" spans="1:6">
      <c r="A131" s="193">
        <v>45</v>
      </c>
      <c r="B131" s="230" t="s">
        <v>99</v>
      </c>
      <c r="C131" s="57" t="s">
        <v>535</v>
      </c>
      <c r="D131" s="121"/>
      <c r="E131" s="200" t="s">
        <v>16</v>
      </c>
      <c r="F131" s="112"/>
    </row>
    <row r="132" spans="1:6">
      <c r="A132" s="194"/>
      <c r="B132" s="231"/>
      <c r="C132" s="57" t="s">
        <v>536</v>
      </c>
      <c r="D132" s="121"/>
      <c r="E132" s="206"/>
      <c r="F132" s="112"/>
    </row>
    <row r="133" spans="1:6" ht="31.5">
      <c r="A133" s="194"/>
      <c r="B133" s="231"/>
      <c r="C133" s="139" t="s">
        <v>537</v>
      </c>
      <c r="D133" s="121"/>
      <c r="E133" s="206"/>
      <c r="F133" s="112"/>
    </row>
    <row r="134" spans="1:6">
      <c r="A134" s="194"/>
      <c r="B134" s="231"/>
      <c r="C134" s="151" t="s">
        <v>538</v>
      </c>
      <c r="D134" s="121"/>
      <c r="E134" s="201"/>
      <c r="F134" s="112"/>
    </row>
    <row r="135" spans="1:6">
      <c r="A135" s="194"/>
      <c r="B135" s="231"/>
      <c r="C135" s="151" t="s">
        <v>539</v>
      </c>
      <c r="D135" s="121"/>
      <c r="E135" s="200" t="s">
        <v>16</v>
      </c>
      <c r="F135" s="112"/>
    </row>
    <row r="136" spans="1:6">
      <c r="A136" s="194"/>
      <c r="B136" s="231"/>
      <c r="C136" s="151" t="s">
        <v>540</v>
      </c>
      <c r="D136" s="121"/>
      <c r="E136" s="206"/>
      <c r="F136" s="112"/>
    </row>
    <row r="137" spans="1:6">
      <c r="A137" s="194"/>
      <c r="B137" s="231"/>
      <c r="C137" s="151" t="s">
        <v>541</v>
      </c>
      <c r="D137" s="121"/>
      <c r="E137" s="206"/>
      <c r="F137" s="112"/>
    </row>
    <row r="138" spans="1:6">
      <c r="A138" s="195"/>
      <c r="B138" s="235"/>
      <c r="C138" s="110" t="s">
        <v>542</v>
      </c>
      <c r="D138" s="121"/>
      <c r="E138" s="201"/>
      <c r="F138" s="112"/>
    </row>
    <row r="139" spans="1:6">
      <c r="A139" s="199">
        <v>46</v>
      </c>
      <c r="B139" s="233" t="s">
        <v>650</v>
      </c>
      <c r="C139" s="57" t="s">
        <v>544</v>
      </c>
      <c r="D139" s="121" t="s">
        <v>652</v>
      </c>
      <c r="E139" s="200" t="s">
        <v>16</v>
      </c>
      <c r="F139" s="112"/>
    </row>
    <row r="140" spans="1:6">
      <c r="A140" s="199"/>
      <c r="B140" s="234"/>
      <c r="C140" s="57" t="s">
        <v>545</v>
      </c>
      <c r="D140" s="121" t="s">
        <v>652</v>
      </c>
      <c r="E140" s="206"/>
      <c r="F140" s="112"/>
    </row>
    <row r="141" spans="1:6">
      <c r="A141" s="199">
        <v>47</v>
      </c>
      <c r="B141" s="207" t="s">
        <v>92</v>
      </c>
      <c r="C141" s="57" t="s">
        <v>549</v>
      </c>
      <c r="D141" s="121" t="s">
        <v>553</v>
      </c>
      <c r="E141" s="200" t="s">
        <v>16</v>
      </c>
      <c r="F141" s="112"/>
    </row>
    <row r="142" spans="1:6">
      <c r="A142" s="199"/>
      <c r="B142" s="210"/>
      <c r="C142" s="57" t="s">
        <v>550</v>
      </c>
      <c r="D142" s="121" t="s">
        <v>554</v>
      </c>
      <c r="E142" s="206"/>
      <c r="F142" s="112"/>
    </row>
    <row r="143" spans="1:6">
      <c r="A143" s="199"/>
      <c r="B143" s="210"/>
      <c r="C143" s="110" t="s">
        <v>551</v>
      </c>
      <c r="D143" s="121" t="s">
        <v>555</v>
      </c>
      <c r="E143" s="206"/>
      <c r="F143" s="112"/>
    </row>
    <row r="144" spans="1:6">
      <c r="A144" s="199"/>
      <c r="B144" s="208"/>
      <c r="C144" s="110" t="s">
        <v>556</v>
      </c>
      <c r="D144" s="121" t="s">
        <v>552</v>
      </c>
      <c r="E144" s="201"/>
      <c r="F144" s="112"/>
    </row>
    <row r="145" spans="1:6">
      <c r="A145" s="117">
        <v>48</v>
      </c>
      <c r="B145" s="148" t="s">
        <v>124</v>
      </c>
      <c r="C145" s="110" t="s">
        <v>557</v>
      </c>
      <c r="D145" s="121" t="s">
        <v>493</v>
      </c>
      <c r="E145" s="113" t="s">
        <v>16</v>
      </c>
      <c r="F145" s="112"/>
    </row>
    <row r="146" spans="1:6">
      <c r="A146" s="199">
        <v>49</v>
      </c>
      <c r="B146" s="227" t="s">
        <v>222</v>
      </c>
      <c r="C146" s="57" t="s">
        <v>549</v>
      </c>
      <c r="D146" s="121"/>
      <c r="E146" s="200" t="s">
        <v>16</v>
      </c>
      <c r="F146" s="112"/>
    </row>
    <row r="147" spans="1:6">
      <c r="A147" s="199"/>
      <c r="B147" s="228"/>
      <c r="C147" s="57" t="s">
        <v>550</v>
      </c>
      <c r="D147" s="121"/>
      <c r="E147" s="206"/>
      <c r="F147" s="112"/>
    </row>
    <row r="148" spans="1:6">
      <c r="A148" s="199"/>
      <c r="B148" s="228"/>
      <c r="C148" s="57" t="s">
        <v>551</v>
      </c>
      <c r="D148" s="121"/>
      <c r="E148" s="206"/>
      <c r="F148" s="112"/>
    </row>
    <row r="149" spans="1:6">
      <c r="A149" s="199"/>
      <c r="B149" s="229"/>
      <c r="C149" s="57" t="s">
        <v>559</v>
      </c>
      <c r="D149" s="121"/>
      <c r="E149" s="201"/>
      <c r="F149" s="112"/>
    </row>
    <row r="150" spans="1:6">
      <c r="A150" s="117">
        <v>50</v>
      </c>
      <c r="B150" s="148" t="s">
        <v>127</v>
      </c>
      <c r="C150" s="110" t="s">
        <v>557</v>
      </c>
      <c r="D150" s="121" t="s">
        <v>493</v>
      </c>
      <c r="E150" s="113" t="s">
        <v>16</v>
      </c>
      <c r="F150" s="112"/>
    </row>
    <row r="151" spans="1:6">
      <c r="A151" s="193">
        <v>51</v>
      </c>
      <c r="B151" s="230" t="s">
        <v>146</v>
      </c>
      <c r="C151" s="57" t="s">
        <v>606</v>
      </c>
      <c r="D151" s="121" t="s">
        <v>611</v>
      </c>
      <c r="E151" s="200" t="s">
        <v>16</v>
      </c>
      <c r="F151" s="112"/>
    </row>
    <row r="152" spans="1:6">
      <c r="A152" s="194"/>
      <c r="B152" s="231"/>
      <c r="C152" s="57" t="s">
        <v>607</v>
      </c>
      <c r="D152" s="121" t="s">
        <v>611</v>
      </c>
      <c r="E152" s="206"/>
      <c r="F152" s="112"/>
    </row>
    <row r="153" spans="1:6">
      <c r="A153" s="194"/>
      <c r="B153" s="231"/>
      <c r="C153" s="57" t="s">
        <v>608</v>
      </c>
      <c r="D153" s="121" t="s">
        <v>613</v>
      </c>
      <c r="E153" s="206"/>
      <c r="F153" s="112"/>
    </row>
    <row r="154" spans="1:6">
      <c r="A154" s="194"/>
      <c r="B154" s="231"/>
      <c r="C154" s="57" t="s">
        <v>609</v>
      </c>
      <c r="D154" s="121" t="s">
        <v>612</v>
      </c>
      <c r="E154" s="206"/>
      <c r="F154" s="112"/>
    </row>
    <row r="155" spans="1:6">
      <c r="A155" s="194"/>
      <c r="B155" s="231"/>
      <c r="C155" s="57" t="s">
        <v>610</v>
      </c>
      <c r="D155" s="121" t="s">
        <v>614</v>
      </c>
      <c r="E155" s="206"/>
      <c r="F155" s="112"/>
    </row>
    <row r="156" spans="1:6">
      <c r="A156" s="193">
        <v>52</v>
      </c>
      <c r="B156" s="232" t="s">
        <v>152</v>
      </c>
      <c r="C156" s="57" t="s">
        <v>606</v>
      </c>
      <c r="D156" s="121" t="s">
        <v>611</v>
      </c>
      <c r="E156" s="189" t="s">
        <v>16</v>
      </c>
      <c r="F156" s="112"/>
    </row>
    <row r="157" spans="1:6">
      <c r="A157" s="194"/>
      <c r="B157" s="232"/>
      <c r="C157" s="57" t="s">
        <v>607</v>
      </c>
      <c r="D157" s="121" t="s">
        <v>611</v>
      </c>
      <c r="E157" s="189"/>
      <c r="F157" s="112"/>
    </row>
    <row r="158" spans="1:6">
      <c r="A158" s="194"/>
      <c r="B158" s="232"/>
      <c r="C158" s="57" t="s">
        <v>608</v>
      </c>
      <c r="D158" s="121" t="s">
        <v>613</v>
      </c>
      <c r="E158" s="189"/>
      <c r="F158" s="112"/>
    </row>
    <row r="159" spans="1:6">
      <c r="A159" s="194"/>
      <c r="B159" s="232"/>
      <c r="C159" s="57" t="s">
        <v>609</v>
      </c>
      <c r="D159" s="121" t="s">
        <v>612</v>
      </c>
      <c r="E159" s="189"/>
      <c r="F159" s="112"/>
    </row>
    <row r="160" spans="1:6">
      <c r="A160" s="195"/>
      <c r="B160" s="232"/>
      <c r="C160" s="57" t="s">
        <v>610</v>
      </c>
      <c r="D160" s="121" t="s">
        <v>614</v>
      </c>
      <c r="E160" s="189"/>
      <c r="F160" s="112"/>
    </row>
    <row r="161" spans="1:6">
      <c r="A161" s="193">
        <v>53</v>
      </c>
      <c r="B161" s="232" t="s">
        <v>147</v>
      </c>
      <c r="C161" s="57" t="s">
        <v>617</v>
      </c>
      <c r="D161" s="121" t="s">
        <v>614</v>
      </c>
      <c r="E161" s="200" t="s">
        <v>16</v>
      </c>
      <c r="F161" s="112"/>
    </row>
    <row r="162" spans="1:6">
      <c r="A162" s="194"/>
      <c r="B162" s="232"/>
      <c r="C162" s="57" t="s">
        <v>618</v>
      </c>
      <c r="D162" s="121" t="s">
        <v>621</v>
      </c>
      <c r="E162" s="206"/>
      <c r="F162" s="112"/>
    </row>
    <row r="163" spans="1:6">
      <c r="A163" s="194"/>
      <c r="B163" s="232"/>
      <c r="C163" s="57" t="s">
        <v>619</v>
      </c>
      <c r="D163" s="121" t="s">
        <v>614</v>
      </c>
      <c r="E163" s="206"/>
      <c r="F163" s="112"/>
    </row>
    <row r="164" spans="1:6">
      <c r="A164" s="195"/>
      <c r="B164" s="232"/>
      <c r="C164" s="57" t="s">
        <v>620</v>
      </c>
      <c r="D164" s="121" t="s">
        <v>614</v>
      </c>
      <c r="E164" s="206"/>
      <c r="F164" s="112"/>
    </row>
    <row r="165" spans="1:6">
      <c r="A165" s="193">
        <v>54</v>
      </c>
      <c r="B165" s="207" t="s">
        <v>148</v>
      </c>
      <c r="C165" s="57" t="s">
        <v>623</v>
      </c>
      <c r="D165" s="115" t="s">
        <v>611</v>
      </c>
      <c r="E165" s="200" t="s">
        <v>16</v>
      </c>
      <c r="F165" s="112"/>
    </row>
    <row r="166" spans="1:6">
      <c r="A166" s="195"/>
      <c r="B166" s="208"/>
      <c r="C166" s="57" t="s">
        <v>624</v>
      </c>
      <c r="D166" s="115" t="s">
        <v>426</v>
      </c>
      <c r="E166" s="201"/>
      <c r="F166" s="112"/>
    </row>
    <row r="167" spans="1:6">
      <c r="A167" s="117">
        <v>55</v>
      </c>
      <c r="B167" s="132" t="s">
        <v>105</v>
      </c>
      <c r="C167" s="110" t="s">
        <v>625</v>
      </c>
      <c r="D167" s="115" t="s">
        <v>613</v>
      </c>
      <c r="E167" s="113" t="s">
        <v>16</v>
      </c>
      <c r="F167" s="112"/>
    </row>
    <row r="168" spans="1:6">
      <c r="A168" s="199">
        <v>56</v>
      </c>
      <c r="B168" s="227" t="s">
        <v>111</v>
      </c>
      <c r="C168" s="57" t="s">
        <v>626</v>
      </c>
      <c r="D168" s="115" t="s">
        <v>632</v>
      </c>
      <c r="E168" s="200" t="s">
        <v>16</v>
      </c>
      <c r="F168" s="112"/>
    </row>
    <row r="169" spans="1:6">
      <c r="A169" s="199"/>
      <c r="B169" s="228"/>
      <c r="C169" s="57" t="s">
        <v>628</v>
      </c>
      <c r="D169" s="115" t="s">
        <v>632</v>
      </c>
      <c r="E169" s="206"/>
      <c r="F169" s="112"/>
    </row>
    <row r="170" spans="1:6">
      <c r="A170" s="199"/>
      <c r="B170" s="228"/>
      <c r="C170" s="57" t="s">
        <v>629</v>
      </c>
      <c r="D170" s="115" t="s">
        <v>632</v>
      </c>
      <c r="E170" s="206"/>
      <c r="F170" s="112"/>
    </row>
    <row r="171" spans="1:6">
      <c r="A171" s="199"/>
      <c r="B171" s="228"/>
      <c r="C171" s="57" t="s">
        <v>630</v>
      </c>
      <c r="D171" s="115" t="s">
        <v>632</v>
      </c>
      <c r="E171" s="206"/>
      <c r="F171" s="112"/>
    </row>
    <row r="172" spans="1:6">
      <c r="A172" s="199"/>
      <c r="B172" s="228"/>
      <c r="C172" s="110" t="s">
        <v>631</v>
      </c>
      <c r="D172" s="115" t="s">
        <v>633</v>
      </c>
      <c r="E172" s="206"/>
      <c r="F172" s="112"/>
    </row>
    <row r="173" spans="1:6">
      <c r="A173" s="199">
        <v>57</v>
      </c>
      <c r="B173" s="209" t="s">
        <v>635</v>
      </c>
      <c r="C173" s="57" t="s">
        <v>636</v>
      </c>
      <c r="D173" s="115" t="s">
        <v>613</v>
      </c>
      <c r="E173" s="200" t="s">
        <v>16</v>
      </c>
      <c r="F173" s="112"/>
    </row>
    <row r="174" spans="1:6">
      <c r="A174" s="199"/>
      <c r="B174" s="209"/>
      <c r="C174" s="57" t="s">
        <v>637</v>
      </c>
      <c r="D174" s="115" t="s">
        <v>613</v>
      </c>
      <c r="E174" s="206"/>
      <c r="F174" s="112"/>
    </row>
    <row r="175" spans="1:6" ht="31.5">
      <c r="A175" s="117">
        <v>58</v>
      </c>
      <c r="B175" s="133" t="s">
        <v>309</v>
      </c>
      <c r="C175" s="57" t="s">
        <v>638</v>
      </c>
      <c r="D175" s="115" t="s">
        <v>639</v>
      </c>
      <c r="E175" s="113" t="s">
        <v>16</v>
      </c>
      <c r="F175" s="112"/>
    </row>
    <row r="176" spans="1:6">
      <c r="A176" s="199">
        <v>59</v>
      </c>
      <c r="B176" s="209" t="s">
        <v>95</v>
      </c>
      <c r="C176" s="57" t="s">
        <v>606</v>
      </c>
      <c r="D176" s="115"/>
      <c r="E176" s="200" t="s">
        <v>16</v>
      </c>
      <c r="F176" s="112"/>
    </row>
    <row r="177" spans="1:6">
      <c r="A177" s="199"/>
      <c r="B177" s="209"/>
      <c r="C177" s="57" t="s">
        <v>607</v>
      </c>
      <c r="D177" s="115"/>
      <c r="E177" s="206"/>
      <c r="F177" s="112"/>
    </row>
    <row r="178" spans="1:6">
      <c r="A178" s="199"/>
      <c r="B178" s="209"/>
      <c r="C178" s="57" t="s">
        <v>608</v>
      </c>
      <c r="D178" s="115"/>
      <c r="E178" s="206"/>
      <c r="F178" s="112"/>
    </row>
    <row r="179" spans="1:6">
      <c r="A179" s="199"/>
      <c r="B179" s="209"/>
      <c r="C179" s="57" t="s">
        <v>609</v>
      </c>
      <c r="D179" s="115"/>
      <c r="E179" s="206"/>
      <c r="F179" s="112"/>
    </row>
    <row r="180" spans="1:6">
      <c r="A180" s="199"/>
      <c r="B180" s="209"/>
      <c r="C180" s="57" t="s">
        <v>610</v>
      </c>
      <c r="D180" s="115"/>
      <c r="E180" s="206"/>
      <c r="F180" s="112"/>
    </row>
    <row r="181" spans="1:6" ht="15.75" customHeight="1">
      <c r="A181" s="193">
        <v>60</v>
      </c>
      <c r="B181" s="203" t="s">
        <v>543</v>
      </c>
      <c r="C181" s="152" t="s">
        <v>653</v>
      </c>
      <c r="D181" s="115"/>
      <c r="E181" s="200" t="s">
        <v>16</v>
      </c>
      <c r="F181" s="112"/>
    </row>
    <row r="182" spans="1:6">
      <c r="A182" s="194"/>
      <c r="B182" s="204"/>
      <c r="C182" s="110" t="s">
        <v>535</v>
      </c>
      <c r="D182" s="115"/>
      <c r="E182" s="206"/>
      <c r="F182" s="112"/>
    </row>
    <row r="183" spans="1:6">
      <c r="A183" s="194"/>
      <c r="B183" s="204"/>
      <c r="C183" s="57" t="s">
        <v>536</v>
      </c>
      <c r="D183" s="115"/>
      <c r="E183" s="206"/>
      <c r="F183" s="112"/>
    </row>
    <row r="184" spans="1:6">
      <c r="A184" s="194"/>
      <c r="B184" s="204"/>
      <c r="C184" s="57" t="s">
        <v>537</v>
      </c>
      <c r="D184" s="115"/>
      <c r="E184" s="206"/>
      <c r="F184" s="112"/>
    </row>
    <row r="185" spans="1:6">
      <c r="A185" s="194"/>
      <c r="B185" s="204"/>
      <c r="C185" s="57" t="s">
        <v>538</v>
      </c>
      <c r="D185" s="115"/>
      <c r="E185" s="206"/>
      <c r="F185" s="112"/>
    </row>
    <row r="186" spans="1:6">
      <c r="A186" s="194"/>
      <c r="B186" s="204"/>
      <c r="C186" s="57" t="s">
        <v>539</v>
      </c>
      <c r="D186" s="115"/>
      <c r="E186" s="206"/>
      <c r="F186" s="112"/>
    </row>
    <row r="187" spans="1:6">
      <c r="A187" s="194"/>
      <c r="B187" s="204"/>
      <c r="C187" s="57" t="s">
        <v>540</v>
      </c>
      <c r="D187" s="115"/>
      <c r="E187" s="206"/>
      <c r="F187" s="112"/>
    </row>
    <row r="188" spans="1:6">
      <c r="A188" s="194"/>
      <c r="B188" s="204"/>
      <c r="C188" s="57" t="s">
        <v>541</v>
      </c>
      <c r="D188" s="115"/>
      <c r="E188" s="206"/>
      <c r="F188" s="112"/>
    </row>
    <row r="189" spans="1:6">
      <c r="A189" s="194"/>
      <c r="B189" s="204"/>
      <c r="C189" s="152" t="s">
        <v>654</v>
      </c>
      <c r="D189" s="115"/>
      <c r="E189" s="206"/>
      <c r="F189" s="112"/>
    </row>
    <row r="190" spans="1:6">
      <c r="A190" s="194"/>
      <c r="B190" s="204"/>
      <c r="C190" s="57" t="s">
        <v>655</v>
      </c>
      <c r="D190" s="115"/>
      <c r="E190" s="206"/>
      <c r="F190" s="112"/>
    </row>
    <row r="191" spans="1:6">
      <c r="A191" s="194"/>
      <c r="B191" s="204"/>
      <c r="C191" s="57" t="s">
        <v>656</v>
      </c>
      <c r="D191" s="115"/>
      <c r="E191" s="206"/>
      <c r="F191" s="112"/>
    </row>
    <row r="192" spans="1:6">
      <c r="A192" s="194"/>
      <c r="B192" s="204"/>
      <c r="C192" s="57" t="s">
        <v>657</v>
      </c>
      <c r="D192" s="115"/>
      <c r="E192" s="206"/>
      <c r="F192" s="112"/>
    </row>
    <row r="193" spans="1:6">
      <c r="A193" s="195"/>
      <c r="B193" s="205"/>
      <c r="C193" s="57" t="s">
        <v>658</v>
      </c>
      <c r="D193" s="115"/>
      <c r="E193" s="206"/>
      <c r="F193" s="112"/>
    </row>
    <row r="194" spans="1:6">
      <c r="A194" s="193">
        <v>61</v>
      </c>
      <c r="B194" s="207" t="s">
        <v>197</v>
      </c>
      <c r="C194" s="57" t="s">
        <v>659</v>
      </c>
      <c r="D194" s="115" t="s">
        <v>492</v>
      </c>
      <c r="E194" s="206" t="s">
        <v>16</v>
      </c>
      <c r="F194" s="112"/>
    </row>
    <row r="195" spans="1:6">
      <c r="A195" s="194"/>
      <c r="B195" s="210"/>
      <c r="C195" s="57" t="s">
        <v>660</v>
      </c>
      <c r="D195" s="115" t="s">
        <v>666</v>
      </c>
      <c r="E195" s="206"/>
      <c r="F195" s="112"/>
    </row>
    <row r="196" spans="1:6">
      <c r="A196" s="194"/>
      <c r="B196" s="210"/>
      <c r="C196" s="57" t="s">
        <v>661</v>
      </c>
      <c r="D196" s="115"/>
      <c r="E196" s="206"/>
      <c r="F196" s="112"/>
    </row>
    <row r="197" spans="1:6">
      <c r="A197" s="194"/>
      <c r="B197" s="210"/>
      <c r="C197" s="57" t="s">
        <v>662</v>
      </c>
      <c r="D197" s="115"/>
      <c r="E197" s="206"/>
      <c r="F197" s="112"/>
    </row>
    <row r="198" spans="1:6">
      <c r="A198" s="195"/>
      <c r="B198" s="208"/>
      <c r="C198" s="57" t="s">
        <v>663</v>
      </c>
      <c r="D198" s="115"/>
      <c r="E198" s="201"/>
      <c r="F198" s="112"/>
    </row>
    <row r="199" spans="1:6">
      <c r="A199" s="117">
        <v>62</v>
      </c>
      <c r="B199" s="149" t="s">
        <v>368</v>
      </c>
      <c r="C199" s="110" t="s">
        <v>664</v>
      </c>
      <c r="D199" s="115" t="s">
        <v>665</v>
      </c>
      <c r="E199" s="113" t="s">
        <v>16</v>
      </c>
      <c r="F199" s="112"/>
    </row>
    <row r="200" spans="1:6">
      <c r="A200" s="116">
        <v>63</v>
      </c>
      <c r="B200" s="112" t="s">
        <v>284</v>
      </c>
      <c r="C200" s="57" t="s">
        <v>646</v>
      </c>
      <c r="D200" s="115"/>
      <c r="E200" s="155" t="s">
        <v>16</v>
      </c>
      <c r="F200" s="112"/>
    </row>
    <row r="201" spans="1:6">
      <c r="A201" s="117">
        <v>64</v>
      </c>
      <c r="B201" s="112" t="s">
        <v>285</v>
      </c>
      <c r="C201" s="57" t="s">
        <v>646</v>
      </c>
      <c r="D201" s="115"/>
      <c r="E201" s="155" t="s">
        <v>16</v>
      </c>
      <c r="F201" s="112"/>
    </row>
    <row r="202" spans="1:6">
      <c r="A202" s="117">
        <v>65</v>
      </c>
      <c r="B202" s="112" t="s">
        <v>286</v>
      </c>
      <c r="C202" s="57" t="s">
        <v>646</v>
      </c>
      <c r="D202" s="115"/>
      <c r="E202" s="113" t="s">
        <v>16</v>
      </c>
      <c r="F202" s="112"/>
    </row>
    <row r="203" spans="1:6">
      <c r="A203" s="117">
        <v>66</v>
      </c>
      <c r="B203" s="112" t="s">
        <v>287</v>
      </c>
      <c r="C203" s="57" t="s">
        <v>646</v>
      </c>
      <c r="D203" s="115"/>
      <c r="E203" s="113" t="s">
        <v>16</v>
      </c>
      <c r="F203" s="112"/>
    </row>
    <row r="204" spans="1:6">
      <c r="A204" s="117">
        <v>67</v>
      </c>
      <c r="B204" s="112" t="s">
        <v>288</v>
      </c>
      <c r="C204" s="57" t="s">
        <v>646</v>
      </c>
      <c r="D204" s="115"/>
      <c r="E204" s="108" t="s">
        <v>16</v>
      </c>
      <c r="F204" s="112"/>
    </row>
    <row r="205" spans="1:6">
      <c r="A205" s="190">
        <v>68</v>
      </c>
      <c r="B205" s="188" t="s">
        <v>283</v>
      </c>
      <c r="C205" s="57" t="s">
        <v>667</v>
      </c>
      <c r="D205" s="115"/>
      <c r="E205" s="189" t="s">
        <v>16</v>
      </c>
      <c r="F205" s="112"/>
    </row>
    <row r="206" spans="1:6">
      <c r="A206" s="191"/>
      <c r="B206" s="188"/>
      <c r="C206" s="57" t="s">
        <v>668</v>
      </c>
      <c r="D206" s="115"/>
      <c r="E206" s="189"/>
      <c r="F206" s="112"/>
    </row>
    <row r="207" spans="1:6">
      <c r="A207" s="192"/>
      <c r="B207" s="188"/>
      <c r="C207" s="57" t="s">
        <v>646</v>
      </c>
      <c r="D207" s="115"/>
      <c r="E207" s="189"/>
      <c r="F207" s="112"/>
    </row>
    <row r="208" spans="1:6">
      <c r="A208" s="193">
        <v>69</v>
      </c>
      <c r="B208" s="196" t="s">
        <v>335</v>
      </c>
      <c r="C208" s="156" t="s">
        <v>667</v>
      </c>
      <c r="D208" s="154"/>
      <c r="E208" s="189" t="s">
        <v>16</v>
      </c>
      <c r="F208" s="112"/>
    </row>
    <row r="209" spans="1:6">
      <c r="A209" s="194"/>
      <c r="B209" s="196"/>
      <c r="C209" s="57" t="s">
        <v>668</v>
      </c>
      <c r="D209" s="115"/>
      <c r="E209" s="189"/>
      <c r="F209" s="112"/>
    </row>
    <row r="210" spans="1:6">
      <c r="A210" s="195"/>
      <c r="B210" s="197"/>
      <c r="C210" s="57" t="s">
        <v>646</v>
      </c>
      <c r="D210" s="115"/>
      <c r="E210" s="189"/>
      <c r="F210" s="112"/>
    </row>
    <row r="211" spans="1:6">
      <c r="A211" s="199">
        <v>70</v>
      </c>
      <c r="B211" s="198" t="s">
        <v>181</v>
      </c>
      <c r="C211" s="104" t="s">
        <v>669</v>
      </c>
      <c r="D211" s="115"/>
      <c r="E211" s="200" t="s">
        <v>16</v>
      </c>
      <c r="F211" s="157"/>
    </row>
    <row r="212" spans="1:6">
      <c r="A212" s="199"/>
      <c r="B212" s="198"/>
      <c r="C212" s="104" t="s">
        <v>670</v>
      </c>
      <c r="D212" s="115"/>
      <c r="E212" s="201"/>
      <c r="F212" s="112"/>
    </row>
    <row r="213" spans="1:6" ht="31.5">
      <c r="A213" s="158">
        <v>71</v>
      </c>
      <c r="B213" s="147" t="s">
        <v>648</v>
      </c>
      <c r="C213" s="159" t="s">
        <v>646</v>
      </c>
      <c r="D213" s="153"/>
      <c r="E213" s="108" t="s">
        <v>16</v>
      </c>
      <c r="F213" s="112"/>
    </row>
    <row r="214" spans="1:6" ht="31.5">
      <c r="A214" s="117">
        <v>72</v>
      </c>
      <c r="B214" s="65" t="s">
        <v>183</v>
      </c>
      <c r="C214" s="110" t="s">
        <v>647</v>
      </c>
      <c r="D214" s="115"/>
      <c r="E214" s="108" t="s">
        <v>16</v>
      </c>
      <c r="F214" s="112"/>
    </row>
    <row r="215" spans="1:6" ht="31.5">
      <c r="A215" s="117">
        <v>73</v>
      </c>
      <c r="B215" s="65" t="s">
        <v>326</v>
      </c>
      <c r="C215" s="104" t="s">
        <v>643</v>
      </c>
      <c r="D215" s="115"/>
      <c r="E215" s="108" t="s">
        <v>16</v>
      </c>
      <c r="F215" s="112"/>
    </row>
    <row r="216" spans="1:6" ht="47.25">
      <c r="A216" s="117">
        <v>74</v>
      </c>
      <c r="B216" s="65" t="s">
        <v>330</v>
      </c>
      <c r="C216" s="104" t="s">
        <v>645</v>
      </c>
      <c r="D216" s="115"/>
      <c r="E216" s="108" t="s">
        <v>16</v>
      </c>
      <c r="F216" s="112"/>
    </row>
    <row r="217" spans="1:6" ht="47.25">
      <c r="A217" s="117">
        <v>75</v>
      </c>
      <c r="B217" s="65" t="s">
        <v>327</v>
      </c>
      <c r="C217" s="104" t="s">
        <v>645</v>
      </c>
      <c r="D217" s="115"/>
      <c r="E217" s="108" t="s">
        <v>16</v>
      </c>
      <c r="F217" s="112"/>
    </row>
    <row r="218" spans="1:6" ht="47.25">
      <c r="A218" s="117">
        <v>76</v>
      </c>
      <c r="B218" s="149" t="s">
        <v>310</v>
      </c>
      <c r="C218" s="104" t="s">
        <v>671</v>
      </c>
      <c r="D218" s="115"/>
      <c r="E218" s="108" t="s">
        <v>16</v>
      </c>
      <c r="F218" s="112"/>
    </row>
    <row r="219" spans="1:6" ht="126">
      <c r="A219" s="117">
        <v>77</v>
      </c>
      <c r="B219" s="149" t="s">
        <v>149</v>
      </c>
      <c r="C219" s="104" t="s">
        <v>673</v>
      </c>
      <c r="D219" s="115"/>
      <c r="E219" s="108" t="s">
        <v>16</v>
      </c>
      <c r="F219" s="112"/>
    </row>
  </sheetData>
  <mergeCells count="160">
    <mergeCell ref="A7:A10"/>
    <mergeCell ref="B7:B10"/>
    <mergeCell ref="E7:E10"/>
    <mergeCell ref="A11:A12"/>
    <mergeCell ref="B11:B12"/>
    <mergeCell ref="E11:E12"/>
    <mergeCell ref="A74:A85"/>
    <mergeCell ref="B74:B85"/>
    <mergeCell ref="A86:A89"/>
    <mergeCell ref="B86:B89"/>
    <mergeCell ref="A14:A15"/>
    <mergeCell ref="B14:B15"/>
    <mergeCell ref="E14:E15"/>
    <mergeCell ref="A16:A17"/>
    <mergeCell ref="B16:B17"/>
    <mergeCell ref="E16:E17"/>
    <mergeCell ref="A63:A68"/>
    <mergeCell ref="B63:B68"/>
    <mergeCell ref="E63:E68"/>
    <mergeCell ref="A19:A21"/>
    <mergeCell ref="B19:B21"/>
    <mergeCell ref="E40:E42"/>
    <mergeCell ref="E43:E45"/>
    <mergeCell ref="E46:E47"/>
    <mergeCell ref="A1:D1"/>
    <mergeCell ref="E1:F1"/>
    <mergeCell ref="A2:D2"/>
    <mergeCell ref="E2:F2"/>
    <mergeCell ref="A3:D3"/>
    <mergeCell ref="E3:F3"/>
    <mergeCell ref="A5:D5"/>
    <mergeCell ref="E5:E6"/>
    <mergeCell ref="F5:F6"/>
    <mergeCell ref="A123:A124"/>
    <mergeCell ref="A125:A127"/>
    <mergeCell ref="B103:B104"/>
    <mergeCell ref="A103:A104"/>
    <mergeCell ref="A94:A96"/>
    <mergeCell ref="B94:B96"/>
    <mergeCell ref="A100:A101"/>
    <mergeCell ref="B100:B101"/>
    <mergeCell ref="E19:E21"/>
    <mergeCell ref="A22:A24"/>
    <mergeCell ref="B22:B24"/>
    <mergeCell ref="E22:E24"/>
    <mergeCell ref="A35:A37"/>
    <mergeCell ref="B35:B37"/>
    <mergeCell ref="E35:E37"/>
    <mergeCell ref="A38:A39"/>
    <mergeCell ref="B38:B39"/>
    <mergeCell ref="E38:E39"/>
    <mergeCell ref="A26:A27"/>
    <mergeCell ref="B26:B27"/>
    <mergeCell ref="E26:E27"/>
    <mergeCell ref="A28:A34"/>
    <mergeCell ref="B28:B34"/>
    <mergeCell ref="E28:E34"/>
    <mergeCell ref="A128:A130"/>
    <mergeCell ref="A139:A140"/>
    <mergeCell ref="A141:A144"/>
    <mergeCell ref="B139:B140"/>
    <mergeCell ref="B141:B144"/>
    <mergeCell ref="E128:E130"/>
    <mergeCell ref="E131:E134"/>
    <mergeCell ref="E135:E138"/>
    <mergeCell ref="E139:E140"/>
    <mergeCell ref="E141:E144"/>
    <mergeCell ref="B131:B138"/>
    <mergeCell ref="A131:A138"/>
    <mergeCell ref="A173:A174"/>
    <mergeCell ref="B173:B174"/>
    <mergeCell ref="A146:A149"/>
    <mergeCell ref="B146:B149"/>
    <mergeCell ref="E146:E149"/>
    <mergeCell ref="B151:B155"/>
    <mergeCell ref="A151:A155"/>
    <mergeCell ref="E151:E155"/>
    <mergeCell ref="B156:B160"/>
    <mergeCell ref="A156:A160"/>
    <mergeCell ref="E156:E160"/>
    <mergeCell ref="B161:B164"/>
    <mergeCell ref="A161:A164"/>
    <mergeCell ref="E161:E164"/>
    <mergeCell ref="E165:E166"/>
    <mergeCell ref="B92:B93"/>
    <mergeCell ref="A92:A93"/>
    <mergeCell ref="E86:E89"/>
    <mergeCell ref="E90:E91"/>
    <mergeCell ref="E92:E93"/>
    <mergeCell ref="A48:A49"/>
    <mergeCell ref="B48:B49"/>
    <mergeCell ref="E48:E49"/>
    <mergeCell ref="A51:A52"/>
    <mergeCell ref="B51:B52"/>
    <mergeCell ref="E51:E52"/>
    <mergeCell ref="A53:A62"/>
    <mergeCell ref="B53:B62"/>
    <mergeCell ref="E53:E62"/>
    <mergeCell ref="A69:A73"/>
    <mergeCell ref="B69:B73"/>
    <mergeCell ref="E69:E73"/>
    <mergeCell ref="B90:B91"/>
    <mergeCell ref="A90:A91"/>
    <mergeCell ref="B194:B198"/>
    <mergeCell ref="A194:A198"/>
    <mergeCell ref="E194:E198"/>
    <mergeCell ref="B40:B42"/>
    <mergeCell ref="A40:A42"/>
    <mergeCell ref="B43:B45"/>
    <mergeCell ref="A43:A45"/>
    <mergeCell ref="B46:B47"/>
    <mergeCell ref="A46:A47"/>
    <mergeCell ref="E110:E111"/>
    <mergeCell ref="E112:E113"/>
    <mergeCell ref="E114:E117"/>
    <mergeCell ref="E74:E85"/>
    <mergeCell ref="E94:E96"/>
    <mergeCell ref="E100:E101"/>
    <mergeCell ref="E103:E104"/>
    <mergeCell ref="E106:E109"/>
    <mergeCell ref="A112:A113"/>
    <mergeCell ref="B112:B113"/>
    <mergeCell ref="B114:B117"/>
    <mergeCell ref="A114:A117"/>
    <mergeCell ref="B106:B109"/>
    <mergeCell ref="A106:A109"/>
    <mergeCell ref="A110:A111"/>
    <mergeCell ref="A98:A99"/>
    <mergeCell ref="B98:B99"/>
    <mergeCell ref="E98:E99"/>
    <mergeCell ref="B181:B193"/>
    <mergeCell ref="A181:A193"/>
    <mergeCell ref="E181:E193"/>
    <mergeCell ref="A165:A166"/>
    <mergeCell ref="B165:B166"/>
    <mergeCell ref="E168:E172"/>
    <mergeCell ref="E173:E174"/>
    <mergeCell ref="A176:A180"/>
    <mergeCell ref="B176:B180"/>
    <mergeCell ref="E176:E180"/>
    <mergeCell ref="B110:B111"/>
    <mergeCell ref="E118:E119"/>
    <mergeCell ref="A118:A119"/>
    <mergeCell ref="E123:E124"/>
    <mergeCell ref="E125:E127"/>
    <mergeCell ref="B118:B119"/>
    <mergeCell ref="B123:B124"/>
    <mergeCell ref="B125:B127"/>
    <mergeCell ref="B128:B130"/>
    <mergeCell ref="A168:A172"/>
    <mergeCell ref="B168:B172"/>
    <mergeCell ref="B205:B207"/>
    <mergeCell ref="E205:E207"/>
    <mergeCell ref="A205:A207"/>
    <mergeCell ref="A208:A210"/>
    <mergeCell ref="B208:B210"/>
    <mergeCell ref="E208:E210"/>
    <mergeCell ref="B211:B212"/>
    <mergeCell ref="A211:A212"/>
    <mergeCell ref="E211:E212"/>
  </mergeCells>
  <conditionalFormatting sqref="D7:D85 D120:D121">
    <cfRule type="cellIs" dxfId="3" priority="1" operator="equal">
      <formula>"Laranja"</formula>
    </cfRule>
    <cfRule type="cellIs" dxfId="2" priority="2" operator="equal">
      <formula>"Amarelo"</formula>
    </cfRule>
    <cfRule type="cellIs" dxfId="1" priority="3" operator="equal">
      <formula>"Vermelho"</formula>
    </cfRule>
    <cfRule type="cellIs" dxfId="0" priority="4" operator="equal">
      <formula>"verde"</formula>
    </cfRule>
  </conditionalFormatting>
  <dataValidations count="3">
    <dataValidation allowBlank="1" showInputMessage="1" showErrorMessage="1" promptTitle="N°" prompt="Dado transferido da &quot;Matriz de Risco&quot;._x000a_" sqref="A11 A13:A14 A16 A38 A7 A22 A25:A26 A28:A29 A35 A120:A121 A48 A50:A51 A53 A63 A69 A74 A18:A19" xr:uid="{007A0DA1-2917-DA41-8324-FAB3487C6919}"/>
    <dataValidation allowBlank="1" showInputMessage="1" showErrorMessage="1" promptTitle="Descrição" prompt="Texto transferido da &quot;Matriz de Risco&quot;._x000a_" sqref="B11 B13:B14 B16 B22 B25:B26 B28:B29 B35 B38 B120:B121 B48 B50:B51 B53 B7 B63 B69 B74 B18:B19" xr:uid="{33C2C8F0-4210-7F46-866F-855FE840F6AB}"/>
    <dataValidation type="list" allowBlank="1" showInputMessage="1" showErrorMessage="1" errorTitle="Brasiliano" sqref="E63:E74 E48:E53 E102:E103 E105:E106 E110 E112 E114 E118 E128 E135 E141 E156 E161 E125 E131 E139 E145:E146 E150:E151 E173 E86:E94 E175:E176 E181 E120:E123 E194 E199:E205 E7:E40 E43 E46 E97:E98 E100 E208 E211 E213:E219 E165 E167:E168" xr:uid="{D1883975-741D-354B-8D05-3CDA67716F4C}">
      <formula1>"Reter,Reduzir,Transferir,Evitar"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B1B4-B0F0-E240-A4E7-75812D51FA17}">
  <dimension ref="A2:F80"/>
  <sheetViews>
    <sheetView topLeftCell="A61" zoomScaleNormal="100" workbookViewId="0">
      <selection activeCell="D10" sqref="D10"/>
    </sheetView>
  </sheetViews>
  <sheetFormatPr defaultColWidth="10.85546875" defaultRowHeight="15.75"/>
  <cols>
    <col min="1" max="1" width="19" style="99" customWidth="1"/>
    <col min="2" max="2" width="25.7109375" style="99" customWidth="1"/>
    <col min="3" max="3" width="41.42578125" style="100" hidden="1" customWidth="1"/>
    <col min="4" max="4" width="60.85546875" style="100" customWidth="1"/>
    <col min="5" max="5" width="46.28515625" style="100" customWidth="1"/>
    <col min="6" max="6" width="66.140625" style="100" customWidth="1"/>
    <col min="7" max="16384" width="10.85546875" style="101"/>
  </cols>
  <sheetData>
    <row r="2" spans="1:6" ht="12.75">
      <c r="A2" s="260" t="s">
        <v>211</v>
      </c>
      <c r="B2" s="260" t="s">
        <v>133</v>
      </c>
      <c r="C2" s="260" t="s">
        <v>132</v>
      </c>
      <c r="D2" s="260" t="s">
        <v>11</v>
      </c>
      <c r="E2" s="260" t="s">
        <v>13</v>
      </c>
      <c r="F2" s="260" t="s">
        <v>131</v>
      </c>
    </row>
    <row r="3" spans="1:6" ht="12.75">
      <c r="A3" s="260"/>
      <c r="B3" s="260"/>
      <c r="C3" s="260"/>
      <c r="D3" s="260"/>
      <c r="E3" s="260"/>
      <c r="F3" s="260"/>
    </row>
    <row r="4" spans="1:6" ht="9" customHeight="1">
      <c r="A4" s="260"/>
      <c r="B4" s="260"/>
      <c r="C4" s="260"/>
      <c r="D4" s="260"/>
      <c r="E4" s="260"/>
      <c r="F4" s="260"/>
    </row>
    <row r="5" spans="1:6" ht="78.75">
      <c r="A5" s="164" t="s">
        <v>137</v>
      </c>
      <c r="B5" s="261" t="s">
        <v>138</v>
      </c>
      <c r="C5" s="87"/>
      <c r="D5" s="88" t="s">
        <v>128</v>
      </c>
      <c r="E5" s="88" t="s">
        <v>213</v>
      </c>
      <c r="F5" s="64" t="s">
        <v>210</v>
      </c>
    </row>
    <row r="6" spans="1:6" ht="36.950000000000003" customHeight="1">
      <c r="A6" s="164"/>
      <c r="B6" s="261"/>
      <c r="C6" s="87"/>
      <c r="D6" s="88" t="s">
        <v>214</v>
      </c>
      <c r="E6" s="88" t="s">
        <v>349</v>
      </c>
      <c r="F6" s="88" t="s">
        <v>215</v>
      </c>
    </row>
    <row r="7" spans="1:6">
      <c r="A7" s="164"/>
      <c r="B7" s="261"/>
      <c r="C7" s="87"/>
      <c r="D7" s="71" t="s">
        <v>94</v>
      </c>
      <c r="E7" s="65" t="s">
        <v>216</v>
      </c>
      <c r="F7" s="65" t="s">
        <v>217</v>
      </c>
    </row>
    <row r="8" spans="1:6" ht="31.5">
      <c r="A8" s="164"/>
      <c r="B8" s="261"/>
      <c r="C8" s="87"/>
      <c r="D8" s="65" t="s">
        <v>218</v>
      </c>
      <c r="E8" s="65" t="s">
        <v>126</v>
      </c>
      <c r="F8" s="65" t="s">
        <v>93</v>
      </c>
    </row>
    <row r="9" spans="1:6" ht="31.5">
      <c r="A9" s="164"/>
      <c r="B9" s="261"/>
      <c r="C9" s="87"/>
      <c r="D9" s="65" t="s">
        <v>219</v>
      </c>
      <c r="E9" s="65" t="s">
        <v>90</v>
      </c>
      <c r="F9" s="65" t="s">
        <v>91</v>
      </c>
    </row>
    <row r="10" spans="1:6" ht="63">
      <c r="A10" s="164"/>
      <c r="B10" s="261"/>
      <c r="C10" s="87"/>
      <c r="D10" s="65" t="s">
        <v>220</v>
      </c>
      <c r="E10" s="65" t="s">
        <v>92</v>
      </c>
      <c r="F10" s="65" t="s">
        <v>221</v>
      </c>
    </row>
    <row r="11" spans="1:6" ht="47.25">
      <c r="A11" s="164"/>
      <c r="B11" s="261"/>
      <c r="C11" s="87"/>
      <c r="D11" s="88" t="s">
        <v>116</v>
      </c>
      <c r="E11" s="88" t="s">
        <v>124</v>
      </c>
      <c r="F11" s="88" t="s">
        <v>223</v>
      </c>
    </row>
    <row r="12" spans="1:6" ht="31.5">
      <c r="A12" s="164"/>
      <c r="B12" s="261"/>
      <c r="C12" s="87"/>
      <c r="D12" s="88" t="s">
        <v>114</v>
      </c>
      <c r="E12" s="88" t="s">
        <v>222</v>
      </c>
      <c r="F12" s="88" t="s">
        <v>115</v>
      </c>
    </row>
    <row r="13" spans="1:6" ht="47.25">
      <c r="A13" s="164"/>
      <c r="B13" s="261"/>
      <c r="C13" s="87"/>
      <c r="D13" s="65" t="s">
        <v>125</v>
      </c>
      <c r="E13" s="65" t="s">
        <v>127</v>
      </c>
      <c r="F13" s="65" t="s">
        <v>224</v>
      </c>
    </row>
    <row r="14" spans="1:6" ht="31.5">
      <c r="A14" s="164" t="s">
        <v>139</v>
      </c>
      <c r="B14" s="261" t="s">
        <v>140</v>
      </c>
      <c r="C14" s="87"/>
      <c r="D14" s="88" t="s">
        <v>142</v>
      </c>
      <c r="E14" s="88" t="s">
        <v>144</v>
      </c>
      <c r="F14" s="88" t="s">
        <v>145</v>
      </c>
    </row>
    <row r="15" spans="1:6" ht="31.5">
      <c r="A15" s="164"/>
      <c r="B15" s="261"/>
      <c r="C15" s="87"/>
      <c r="D15" s="88" t="s">
        <v>96</v>
      </c>
      <c r="E15" s="88" t="s">
        <v>117</v>
      </c>
      <c r="F15" s="88" t="s">
        <v>118</v>
      </c>
    </row>
    <row r="16" spans="1:6" ht="31.5">
      <c r="A16" s="164"/>
      <c r="B16" s="261"/>
      <c r="C16" s="87"/>
      <c r="D16" s="88" t="s">
        <v>143</v>
      </c>
      <c r="E16" s="88" t="s">
        <v>98</v>
      </c>
      <c r="F16" s="88" t="s">
        <v>97</v>
      </c>
    </row>
    <row r="17" spans="1:6" ht="47.25">
      <c r="A17" s="164"/>
      <c r="B17" s="261"/>
      <c r="C17" s="87"/>
      <c r="D17" s="88" t="s">
        <v>340</v>
      </c>
      <c r="E17" s="88" t="s">
        <v>119</v>
      </c>
      <c r="F17" s="88" t="s">
        <v>339</v>
      </c>
    </row>
    <row r="18" spans="1:6" ht="31.5">
      <c r="A18" s="164"/>
      <c r="B18" s="261"/>
      <c r="C18" s="87"/>
      <c r="D18" s="88" t="s">
        <v>120</v>
      </c>
      <c r="E18" s="88" t="s">
        <v>121</v>
      </c>
      <c r="F18" s="88" t="s">
        <v>122</v>
      </c>
    </row>
    <row r="19" spans="1:6" ht="31.5">
      <c r="A19" s="167" t="s">
        <v>160</v>
      </c>
      <c r="B19" s="261" t="s">
        <v>307</v>
      </c>
      <c r="C19" s="87"/>
      <c r="D19" s="88" t="s">
        <v>352</v>
      </c>
      <c r="E19" s="88" t="s">
        <v>99</v>
      </c>
      <c r="F19" s="88" t="s">
        <v>100</v>
      </c>
    </row>
    <row r="20" spans="1:6" ht="47.25">
      <c r="A20" s="168"/>
      <c r="B20" s="261"/>
      <c r="C20" s="87"/>
      <c r="D20" s="88" t="s">
        <v>308</v>
      </c>
      <c r="E20" s="88" t="s">
        <v>95</v>
      </c>
      <c r="F20" s="88" t="s">
        <v>155</v>
      </c>
    </row>
    <row r="21" spans="1:6" ht="47.25">
      <c r="A21" s="168"/>
      <c r="B21" s="261"/>
      <c r="C21" s="87"/>
      <c r="D21" s="88" t="s">
        <v>151</v>
      </c>
      <c r="E21" s="88" t="s">
        <v>146</v>
      </c>
      <c r="F21" s="88" t="s">
        <v>107</v>
      </c>
    </row>
    <row r="22" spans="1:6" ht="31.5">
      <c r="A22" s="168"/>
      <c r="B22" s="261"/>
      <c r="C22" s="87"/>
      <c r="D22" s="88" t="s">
        <v>152</v>
      </c>
      <c r="E22" s="88" t="s">
        <v>101</v>
      </c>
      <c r="F22" s="88" t="s">
        <v>102</v>
      </c>
    </row>
    <row r="23" spans="1:6" ht="31.5">
      <c r="A23" s="168"/>
      <c r="B23" s="261"/>
      <c r="C23" s="87"/>
      <c r="D23" s="88" t="s">
        <v>153</v>
      </c>
      <c r="E23" s="88" t="s">
        <v>147</v>
      </c>
      <c r="F23" s="88" t="s">
        <v>156</v>
      </c>
    </row>
    <row r="24" spans="1:6" ht="31.5">
      <c r="A24" s="168"/>
      <c r="B24" s="261"/>
      <c r="C24" s="87"/>
      <c r="D24" s="88" t="s">
        <v>103</v>
      </c>
      <c r="E24" s="88" t="s">
        <v>148</v>
      </c>
      <c r="F24" s="88" t="s">
        <v>157</v>
      </c>
    </row>
    <row r="25" spans="1:6" ht="31.5">
      <c r="A25" s="168"/>
      <c r="B25" s="261"/>
      <c r="C25" s="87"/>
      <c r="D25" s="88" t="s">
        <v>104</v>
      </c>
      <c r="E25" s="88" t="s">
        <v>105</v>
      </c>
      <c r="F25" s="88" t="s">
        <v>106</v>
      </c>
    </row>
    <row r="26" spans="1:6" ht="31.5">
      <c r="A26" s="168"/>
      <c r="B26" s="261"/>
      <c r="C26" s="87"/>
      <c r="D26" s="88" t="s">
        <v>110</v>
      </c>
      <c r="E26" s="88" t="s">
        <v>111</v>
      </c>
      <c r="F26" s="88" t="s">
        <v>159</v>
      </c>
    </row>
    <row r="27" spans="1:6" ht="78.75">
      <c r="A27" s="168"/>
      <c r="B27" s="261"/>
      <c r="C27" s="87"/>
      <c r="D27" s="88" t="s">
        <v>341</v>
      </c>
      <c r="E27" s="88" t="s">
        <v>342</v>
      </c>
      <c r="F27" s="88" t="s">
        <v>343</v>
      </c>
    </row>
    <row r="28" spans="1:6" ht="31.5">
      <c r="A28" s="168"/>
      <c r="B28" s="261"/>
      <c r="C28" s="87"/>
      <c r="D28" s="88" t="s">
        <v>108</v>
      </c>
      <c r="E28" s="88" t="s">
        <v>309</v>
      </c>
      <c r="F28" s="88" t="s">
        <v>158</v>
      </c>
    </row>
    <row r="29" spans="1:6" ht="31.5">
      <c r="A29" s="168"/>
      <c r="B29" s="261"/>
      <c r="C29" s="87"/>
      <c r="D29" s="88" t="s">
        <v>154</v>
      </c>
      <c r="E29" s="88" t="s">
        <v>310</v>
      </c>
      <c r="F29" s="88" t="s">
        <v>109</v>
      </c>
    </row>
    <row r="30" spans="1:6" ht="31.5">
      <c r="A30" s="168"/>
      <c r="B30" s="261"/>
      <c r="C30" s="87"/>
      <c r="D30" s="88" t="s">
        <v>112</v>
      </c>
      <c r="E30" s="88" t="s">
        <v>149</v>
      </c>
      <c r="F30" s="88" t="s">
        <v>113</v>
      </c>
    </row>
    <row r="31" spans="1:6" ht="38.25">
      <c r="A31" s="168"/>
      <c r="B31" s="261" t="s">
        <v>161</v>
      </c>
      <c r="C31" s="87"/>
      <c r="D31" s="64" t="s">
        <v>311</v>
      </c>
      <c r="E31" s="64" t="s">
        <v>162</v>
      </c>
      <c r="F31" s="64" t="s">
        <v>321</v>
      </c>
    </row>
    <row r="32" spans="1:6">
      <c r="A32" s="168"/>
      <c r="B32" s="261"/>
      <c r="C32" s="87"/>
      <c r="D32" s="64" t="s">
        <v>312</v>
      </c>
      <c r="E32" s="64" t="s">
        <v>163</v>
      </c>
      <c r="F32" s="64" t="s">
        <v>170</v>
      </c>
    </row>
    <row r="33" spans="1:6">
      <c r="A33" s="168"/>
      <c r="B33" s="261"/>
      <c r="C33" s="87"/>
      <c r="D33" s="64" t="s">
        <v>313</v>
      </c>
      <c r="E33" s="64" t="s">
        <v>164</v>
      </c>
      <c r="F33" s="64" t="s">
        <v>171</v>
      </c>
    </row>
    <row r="34" spans="1:6">
      <c r="A34" s="168"/>
      <c r="B34" s="261"/>
      <c r="C34" s="87"/>
      <c r="D34" s="64" t="s">
        <v>314</v>
      </c>
      <c r="E34" s="64" t="s">
        <v>165</v>
      </c>
      <c r="F34" s="64" t="s">
        <v>172</v>
      </c>
    </row>
    <row r="35" spans="1:6">
      <c r="A35" s="168"/>
      <c r="B35" s="261"/>
      <c r="C35" s="87"/>
      <c r="D35" s="64" t="s">
        <v>315</v>
      </c>
      <c r="E35" s="64" t="s">
        <v>166</v>
      </c>
      <c r="F35" s="64" t="s">
        <v>173</v>
      </c>
    </row>
    <row r="36" spans="1:6" ht="25.5">
      <c r="A36" s="168"/>
      <c r="B36" s="261"/>
      <c r="C36" s="87"/>
      <c r="D36" s="64" t="s">
        <v>316</v>
      </c>
      <c r="E36" s="64" t="s">
        <v>322</v>
      </c>
      <c r="F36" s="64" t="s">
        <v>174</v>
      </c>
    </row>
    <row r="37" spans="1:6" ht="38.25">
      <c r="A37" s="168"/>
      <c r="B37" s="261"/>
      <c r="C37" s="87"/>
      <c r="D37" s="64" t="s">
        <v>317</v>
      </c>
      <c r="E37" s="64" t="s">
        <v>167</v>
      </c>
      <c r="F37" s="64" t="s">
        <v>175</v>
      </c>
    </row>
    <row r="38" spans="1:6" ht="25.5">
      <c r="A38" s="168"/>
      <c r="B38" s="261"/>
      <c r="C38" s="87"/>
      <c r="D38" s="64" t="s">
        <v>318</v>
      </c>
      <c r="E38" s="64" t="s">
        <v>323</v>
      </c>
      <c r="F38" s="64" t="s">
        <v>176</v>
      </c>
    </row>
    <row r="39" spans="1:6">
      <c r="A39" s="168"/>
      <c r="B39" s="261"/>
      <c r="C39" s="87"/>
      <c r="D39" s="64" t="s">
        <v>319</v>
      </c>
      <c r="E39" s="64" t="s">
        <v>168</v>
      </c>
      <c r="F39" s="64" t="s">
        <v>177</v>
      </c>
    </row>
    <row r="40" spans="1:6">
      <c r="A40" s="169"/>
      <c r="B40" s="261"/>
      <c r="C40" s="87"/>
      <c r="D40" s="64" t="s">
        <v>320</v>
      </c>
      <c r="E40" s="64" t="s">
        <v>169</v>
      </c>
      <c r="F40" s="64" t="s">
        <v>178</v>
      </c>
    </row>
    <row r="41" spans="1:6" ht="31.5">
      <c r="A41" s="164" t="s">
        <v>179</v>
      </c>
      <c r="B41" s="261" t="s">
        <v>324</v>
      </c>
      <c r="C41" s="87"/>
      <c r="D41" s="88" t="s">
        <v>184</v>
      </c>
      <c r="E41" s="88" t="s">
        <v>180</v>
      </c>
      <c r="F41" s="88" t="s">
        <v>187</v>
      </c>
    </row>
    <row r="42" spans="1:6" ht="31.5">
      <c r="A42" s="164"/>
      <c r="B42" s="261"/>
      <c r="C42" s="87"/>
      <c r="D42" s="88" t="s">
        <v>325</v>
      </c>
      <c r="E42" s="88" t="s">
        <v>181</v>
      </c>
      <c r="F42" s="88" t="s">
        <v>188</v>
      </c>
    </row>
    <row r="43" spans="1:6" ht="31.5">
      <c r="A43" s="164"/>
      <c r="B43" s="261"/>
      <c r="C43" s="87"/>
      <c r="D43" s="88" t="s">
        <v>185</v>
      </c>
      <c r="E43" s="88" t="s">
        <v>182</v>
      </c>
      <c r="F43" s="88" t="s">
        <v>189</v>
      </c>
    </row>
    <row r="44" spans="1:6" ht="31.5">
      <c r="A44" s="164"/>
      <c r="B44" s="261"/>
      <c r="C44" s="87"/>
      <c r="D44" s="88" t="s">
        <v>186</v>
      </c>
      <c r="E44" s="88" t="s">
        <v>183</v>
      </c>
      <c r="F44" s="88" t="s">
        <v>190</v>
      </c>
    </row>
    <row r="45" spans="1:6">
      <c r="A45" s="164"/>
      <c r="B45" s="261"/>
      <c r="C45" s="87"/>
      <c r="D45" s="88" t="s">
        <v>191</v>
      </c>
      <c r="E45" s="262" t="s">
        <v>326</v>
      </c>
      <c r="F45" s="88" t="s">
        <v>193</v>
      </c>
    </row>
    <row r="46" spans="1:6">
      <c r="A46" s="164"/>
      <c r="B46" s="261"/>
      <c r="C46" s="87"/>
      <c r="D46" s="88" t="s">
        <v>192</v>
      </c>
      <c r="E46" s="262"/>
      <c r="F46" s="88" t="s">
        <v>194</v>
      </c>
    </row>
    <row r="47" spans="1:6" ht="47.25">
      <c r="A47" s="164"/>
      <c r="B47" s="261"/>
      <c r="C47" s="87"/>
      <c r="D47" s="88" t="s">
        <v>331</v>
      </c>
      <c r="E47" s="88" t="s">
        <v>330</v>
      </c>
      <c r="F47" s="88" t="s">
        <v>332</v>
      </c>
    </row>
    <row r="48" spans="1:6" ht="47.25">
      <c r="A48" s="164"/>
      <c r="B48" s="261"/>
      <c r="C48" s="87"/>
      <c r="D48" s="88" t="s">
        <v>328</v>
      </c>
      <c r="E48" s="88" t="s">
        <v>327</v>
      </c>
      <c r="F48" s="88" t="s">
        <v>329</v>
      </c>
    </row>
    <row r="49" spans="1:6" ht="63.75">
      <c r="A49" s="164"/>
      <c r="B49" s="261" t="s">
        <v>195</v>
      </c>
      <c r="C49" s="87"/>
      <c r="D49" s="64" t="s">
        <v>199</v>
      </c>
      <c r="E49" s="64" t="s">
        <v>333</v>
      </c>
      <c r="F49" s="64" t="s">
        <v>202</v>
      </c>
    </row>
    <row r="50" spans="1:6" ht="25.5">
      <c r="A50" s="164"/>
      <c r="B50" s="261"/>
      <c r="C50" s="87"/>
      <c r="D50" s="64" t="s">
        <v>200</v>
      </c>
      <c r="E50" s="64" t="s">
        <v>196</v>
      </c>
      <c r="F50" s="64" t="s">
        <v>203</v>
      </c>
    </row>
    <row r="51" spans="1:6">
      <c r="A51" s="164"/>
      <c r="B51" s="261"/>
      <c r="C51" s="87"/>
      <c r="D51" s="64" t="s">
        <v>201</v>
      </c>
      <c r="E51" s="64" t="s">
        <v>197</v>
      </c>
      <c r="F51" s="64" t="s">
        <v>204</v>
      </c>
    </row>
    <row r="52" spans="1:6" ht="25.5">
      <c r="A52" s="164"/>
      <c r="B52" s="261"/>
      <c r="C52" s="87"/>
      <c r="D52" s="64" t="s">
        <v>334</v>
      </c>
      <c r="E52" s="64" t="s">
        <v>198</v>
      </c>
      <c r="F52" s="64" t="s">
        <v>205</v>
      </c>
    </row>
    <row r="53" spans="1:6" ht="25.5">
      <c r="A53" s="164"/>
      <c r="B53" s="261" t="s">
        <v>289</v>
      </c>
      <c r="C53" s="87"/>
      <c r="D53" s="64" t="s">
        <v>276</v>
      </c>
      <c r="E53" s="64" t="s">
        <v>335</v>
      </c>
      <c r="F53" s="64" t="s">
        <v>300</v>
      </c>
    </row>
    <row r="54" spans="1:6" ht="38.25">
      <c r="A54" s="164"/>
      <c r="B54" s="261"/>
      <c r="C54" s="87"/>
      <c r="D54" s="64" t="s">
        <v>277</v>
      </c>
      <c r="E54" s="64" t="s">
        <v>283</v>
      </c>
      <c r="F54" s="64" t="s">
        <v>301</v>
      </c>
    </row>
    <row r="55" spans="1:6">
      <c r="A55" s="164"/>
      <c r="B55" s="261"/>
      <c r="C55" s="87"/>
      <c r="D55" s="64" t="s">
        <v>278</v>
      </c>
      <c r="E55" s="64" t="s">
        <v>284</v>
      </c>
      <c r="F55" s="64" t="s">
        <v>302</v>
      </c>
    </row>
    <row r="56" spans="1:6" ht="25.5">
      <c r="A56" s="164"/>
      <c r="B56" s="261"/>
      <c r="C56" s="87"/>
      <c r="D56" s="64" t="s">
        <v>279</v>
      </c>
      <c r="E56" s="64" t="s">
        <v>285</v>
      </c>
      <c r="F56" s="64" t="s">
        <v>303</v>
      </c>
    </row>
    <row r="57" spans="1:6" ht="25.5">
      <c r="A57" s="164"/>
      <c r="B57" s="261"/>
      <c r="C57" s="87"/>
      <c r="D57" s="64" t="s">
        <v>280</v>
      </c>
      <c r="E57" s="64" t="s">
        <v>286</v>
      </c>
      <c r="F57" s="64" t="s">
        <v>304</v>
      </c>
    </row>
    <row r="58" spans="1:6" ht="25.5">
      <c r="A58" s="164"/>
      <c r="B58" s="261"/>
      <c r="C58" s="87"/>
      <c r="D58" s="64" t="s">
        <v>281</v>
      </c>
      <c r="E58" s="64" t="s">
        <v>287</v>
      </c>
      <c r="F58" s="64" t="s">
        <v>305</v>
      </c>
    </row>
    <row r="59" spans="1:6" ht="51">
      <c r="A59" s="164"/>
      <c r="B59" s="261"/>
      <c r="C59" s="87"/>
      <c r="D59" s="64" t="s">
        <v>282</v>
      </c>
      <c r="E59" s="64" t="s">
        <v>288</v>
      </c>
      <c r="F59" s="64" t="s">
        <v>306</v>
      </c>
    </row>
    <row r="60" spans="1:6" ht="38.25">
      <c r="A60" s="164"/>
      <c r="B60" s="261" t="s">
        <v>290</v>
      </c>
      <c r="C60" s="87"/>
      <c r="D60" s="64" t="s">
        <v>291</v>
      </c>
      <c r="E60" s="64" t="s">
        <v>294</v>
      </c>
      <c r="F60" s="64" t="s">
        <v>297</v>
      </c>
    </row>
    <row r="61" spans="1:6" ht="51">
      <c r="A61" s="164"/>
      <c r="B61" s="261"/>
      <c r="C61" s="87"/>
      <c r="D61" s="64" t="s">
        <v>292</v>
      </c>
      <c r="E61" s="64" t="s">
        <v>295</v>
      </c>
      <c r="F61" s="64" t="s">
        <v>298</v>
      </c>
    </row>
    <row r="62" spans="1:6" ht="25.5">
      <c r="A62" s="164"/>
      <c r="B62" s="261"/>
      <c r="C62" s="87"/>
      <c r="D62" s="64" t="s">
        <v>293</v>
      </c>
      <c r="E62" s="64" t="s">
        <v>296</v>
      </c>
      <c r="F62" s="64" t="s">
        <v>299</v>
      </c>
    </row>
    <row r="63" spans="1:6" ht="25.5">
      <c r="A63" s="164" t="s">
        <v>206</v>
      </c>
      <c r="B63" s="261" t="s">
        <v>207</v>
      </c>
      <c r="C63" s="87"/>
      <c r="D63" s="64" t="s">
        <v>225</v>
      </c>
      <c r="E63" s="64" t="s">
        <v>232</v>
      </c>
      <c r="F63" s="64" t="s">
        <v>239</v>
      </c>
    </row>
    <row r="64" spans="1:6" ht="25.5">
      <c r="A64" s="164"/>
      <c r="B64" s="261"/>
      <c r="C64" s="87"/>
      <c r="D64" s="64" t="s">
        <v>226</v>
      </c>
      <c r="E64" s="64" t="s">
        <v>233</v>
      </c>
      <c r="F64" s="64" t="s">
        <v>240</v>
      </c>
    </row>
    <row r="65" spans="1:6" ht="25.5">
      <c r="A65" s="164"/>
      <c r="B65" s="261"/>
      <c r="C65" s="87"/>
      <c r="D65" s="64" t="s">
        <v>227</v>
      </c>
      <c r="E65" s="64" t="s">
        <v>234</v>
      </c>
      <c r="F65" s="64" t="s">
        <v>241</v>
      </c>
    </row>
    <row r="66" spans="1:6">
      <c r="A66" s="164"/>
      <c r="B66" s="261"/>
      <c r="C66" s="87"/>
      <c r="D66" s="64" t="s">
        <v>228</v>
      </c>
      <c r="E66" s="64" t="s">
        <v>235</v>
      </c>
      <c r="F66" s="64" t="s">
        <v>242</v>
      </c>
    </row>
    <row r="67" spans="1:6" ht="25.5">
      <c r="A67" s="164"/>
      <c r="B67" s="261"/>
      <c r="C67" s="87"/>
      <c r="D67" s="64" t="s">
        <v>229</v>
      </c>
      <c r="E67" s="64" t="s">
        <v>236</v>
      </c>
      <c r="F67" s="64" t="s">
        <v>243</v>
      </c>
    </row>
    <row r="68" spans="1:6" ht="25.5">
      <c r="A68" s="164"/>
      <c r="B68" s="261"/>
      <c r="C68" s="87"/>
      <c r="D68" s="64" t="s">
        <v>230</v>
      </c>
      <c r="E68" s="64" t="s">
        <v>237</v>
      </c>
      <c r="F68" s="64" t="s">
        <v>244</v>
      </c>
    </row>
    <row r="69" spans="1:6" ht="25.5">
      <c r="A69" s="164"/>
      <c r="B69" s="261"/>
      <c r="C69" s="87"/>
      <c r="D69" s="64" t="s">
        <v>231</v>
      </c>
      <c r="E69" s="64" t="s">
        <v>238</v>
      </c>
      <c r="F69" s="64" t="s">
        <v>245</v>
      </c>
    </row>
    <row r="70" spans="1:6" ht="15.95" customHeight="1">
      <c r="A70" s="167" t="s">
        <v>208</v>
      </c>
      <c r="B70" s="261" t="s">
        <v>336</v>
      </c>
      <c r="C70" s="87"/>
      <c r="D70" s="64" t="s">
        <v>246</v>
      </c>
      <c r="E70" s="64" t="s">
        <v>337</v>
      </c>
      <c r="F70" s="64" t="s">
        <v>256</v>
      </c>
    </row>
    <row r="71" spans="1:6" ht="21" customHeight="1">
      <c r="A71" s="168"/>
      <c r="B71" s="261"/>
      <c r="C71" s="87"/>
      <c r="D71" s="64" t="s">
        <v>247</v>
      </c>
      <c r="E71" s="64" t="s">
        <v>251</v>
      </c>
      <c r="F71" s="64" t="s">
        <v>257</v>
      </c>
    </row>
    <row r="72" spans="1:6" ht="25.5">
      <c r="A72" s="168"/>
      <c r="B72" s="261"/>
      <c r="C72" s="87"/>
      <c r="D72" s="64" t="s">
        <v>248</v>
      </c>
      <c r="E72" s="64" t="s">
        <v>252</v>
      </c>
      <c r="F72" s="64" t="s">
        <v>258</v>
      </c>
    </row>
    <row r="73" spans="1:6">
      <c r="A73" s="168"/>
      <c r="B73" s="261"/>
      <c r="C73" s="87"/>
      <c r="D73" s="64" t="s">
        <v>249</v>
      </c>
      <c r="E73" s="64" t="s">
        <v>253</v>
      </c>
      <c r="F73" s="64" t="s">
        <v>259</v>
      </c>
    </row>
    <row r="74" spans="1:6" ht="38.25">
      <c r="A74" s="168"/>
      <c r="B74" s="261"/>
      <c r="C74" s="87"/>
      <c r="D74" s="64" t="s">
        <v>250</v>
      </c>
      <c r="E74" s="64" t="s">
        <v>254</v>
      </c>
      <c r="F74" s="64" t="s">
        <v>260</v>
      </c>
    </row>
    <row r="75" spans="1:6" ht="25.5">
      <c r="A75" s="168"/>
      <c r="B75" s="261"/>
      <c r="C75" s="87"/>
      <c r="D75" s="64" t="s">
        <v>350</v>
      </c>
      <c r="E75" s="64" t="s">
        <v>255</v>
      </c>
      <c r="F75" s="64" t="s">
        <v>261</v>
      </c>
    </row>
    <row r="76" spans="1:6" ht="40.5">
      <c r="A76" s="168"/>
      <c r="B76" s="261" t="s">
        <v>209</v>
      </c>
      <c r="C76" s="87"/>
      <c r="D76" s="64" t="s">
        <v>338</v>
      </c>
      <c r="E76" s="64" t="s">
        <v>265</v>
      </c>
      <c r="F76" s="64" t="s">
        <v>275</v>
      </c>
    </row>
    <row r="77" spans="1:6" ht="25.5">
      <c r="A77" s="168"/>
      <c r="B77" s="261"/>
      <c r="C77" s="87"/>
      <c r="D77" s="64" t="s">
        <v>262</v>
      </c>
      <c r="E77" s="64" t="s">
        <v>266</v>
      </c>
      <c r="F77" s="64" t="s">
        <v>271</v>
      </c>
    </row>
    <row r="78" spans="1:6" ht="25.5">
      <c r="A78" s="168"/>
      <c r="B78" s="261"/>
      <c r="C78" s="87"/>
      <c r="D78" s="64" t="s">
        <v>263</v>
      </c>
      <c r="E78" s="64" t="s">
        <v>267</v>
      </c>
      <c r="F78" s="64" t="s">
        <v>272</v>
      </c>
    </row>
    <row r="79" spans="1:6" ht="25.5">
      <c r="A79" s="168"/>
      <c r="B79" s="261"/>
      <c r="C79" s="87"/>
      <c r="D79" s="64" t="s">
        <v>264</v>
      </c>
      <c r="E79" s="64" t="s">
        <v>268</v>
      </c>
      <c r="F79" s="64" t="s">
        <v>273</v>
      </c>
    </row>
    <row r="80" spans="1:6" ht="25.5">
      <c r="A80" s="169"/>
      <c r="B80" s="261"/>
      <c r="C80" s="87"/>
      <c r="D80" s="64" t="s">
        <v>351</v>
      </c>
      <c r="E80" s="64" t="s">
        <v>269</v>
      </c>
      <c r="F80" s="64" t="s">
        <v>274</v>
      </c>
    </row>
  </sheetData>
  <mergeCells count="24">
    <mergeCell ref="A63:A69"/>
    <mergeCell ref="B63:B69"/>
    <mergeCell ref="B70:B75"/>
    <mergeCell ref="B76:B80"/>
    <mergeCell ref="A70:A80"/>
    <mergeCell ref="B31:B40"/>
    <mergeCell ref="A41:A62"/>
    <mergeCell ref="B41:B48"/>
    <mergeCell ref="E45:E46"/>
    <mergeCell ref="B49:B52"/>
    <mergeCell ref="B53:B59"/>
    <mergeCell ref="B60:B62"/>
    <mergeCell ref="A19:A40"/>
    <mergeCell ref="B19:B30"/>
    <mergeCell ref="F2:F4"/>
    <mergeCell ref="A5:A13"/>
    <mergeCell ref="B5:B13"/>
    <mergeCell ref="A14:A18"/>
    <mergeCell ref="B14:B18"/>
    <mergeCell ref="A2:A4"/>
    <mergeCell ref="B2:B4"/>
    <mergeCell ref="C2:C4"/>
    <mergeCell ref="E2:E4"/>
    <mergeCell ref="D2:D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CDD68-12AC-6F40-B1DC-A5F15A66A9B6}">
  <dimension ref="A1:B5"/>
  <sheetViews>
    <sheetView workbookViewId="0">
      <selection activeCell="A11" sqref="A11"/>
    </sheetView>
  </sheetViews>
  <sheetFormatPr defaultColWidth="10.85546875" defaultRowHeight="15"/>
  <cols>
    <col min="1" max="1" width="66.85546875" style="33" customWidth="1"/>
    <col min="2" max="2" width="45.85546875" style="33" customWidth="1"/>
    <col min="3" max="16384" width="10.85546875" style="33"/>
  </cols>
  <sheetData>
    <row r="1" spans="1:2" ht="17.100000000000001" customHeight="1">
      <c r="A1" s="263" t="s">
        <v>45</v>
      </c>
      <c r="B1" s="263"/>
    </row>
    <row r="2" spans="1:2" ht="18.75">
      <c r="A2" s="36" t="s">
        <v>58</v>
      </c>
      <c r="B2" s="36" t="s">
        <v>59</v>
      </c>
    </row>
    <row r="3" spans="1:2" ht="75">
      <c r="A3" s="34" t="s">
        <v>60</v>
      </c>
      <c r="B3" s="34" t="s">
        <v>51</v>
      </c>
    </row>
    <row r="4" spans="1:2" ht="75">
      <c r="A4" s="34" t="s">
        <v>61</v>
      </c>
      <c r="B4" s="34" t="s">
        <v>52</v>
      </c>
    </row>
    <row r="5" spans="1:2" ht="75">
      <c r="A5" s="34" t="s">
        <v>50</v>
      </c>
      <c r="B5" s="34" t="s">
        <v>53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K10"/>
  <sheetViews>
    <sheetView topLeftCell="E1" zoomScale="120" zoomScaleNormal="120" workbookViewId="0">
      <selection activeCell="G11" sqref="G11"/>
    </sheetView>
  </sheetViews>
  <sheetFormatPr defaultColWidth="8.85546875" defaultRowHeight="15.75"/>
  <cols>
    <col min="1" max="1" width="8.85546875" style="37"/>
    <col min="2" max="3" width="11.7109375" style="37" customWidth="1"/>
    <col min="4" max="4" width="7.140625" style="37" customWidth="1"/>
    <col min="5" max="5" width="45.28515625" style="37" customWidth="1"/>
    <col min="6" max="6" width="13.7109375" style="37" customWidth="1"/>
    <col min="7" max="7" width="32.140625" style="37" customWidth="1"/>
    <col min="8" max="8" width="30" style="37" customWidth="1"/>
    <col min="9" max="9" width="29" style="37" customWidth="1"/>
    <col min="10" max="10" width="10.140625" style="48" customWidth="1"/>
    <col min="11" max="11" width="9.85546875" style="37" customWidth="1"/>
    <col min="12" max="12" width="3.7109375" style="37" customWidth="1"/>
    <col min="13" max="13" width="2.42578125" style="37" customWidth="1"/>
    <col min="14" max="14" width="3" style="37" customWidth="1"/>
    <col min="15" max="15" width="5.85546875" style="37" customWidth="1"/>
    <col min="16" max="16" width="2.85546875" style="37" customWidth="1"/>
    <col min="17" max="17" width="2.42578125" style="37" customWidth="1"/>
    <col min="18" max="16384" width="8.85546875" style="37"/>
  </cols>
  <sheetData>
    <row r="1" spans="1:11" ht="21" customHeight="1" thickTop="1" thickBot="1">
      <c r="B1" s="271" t="s">
        <v>89</v>
      </c>
      <c r="C1" s="272"/>
      <c r="D1" s="272"/>
      <c r="E1" s="273"/>
      <c r="F1" s="32"/>
      <c r="G1" s="264" t="s">
        <v>88</v>
      </c>
      <c r="H1" s="265"/>
      <c r="I1" s="265"/>
      <c r="J1" s="265"/>
      <c r="K1" s="266"/>
    </row>
    <row r="2" spans="1:11" ht="33.950000000000003" customHeight="1" thickTop="1" thickBot="1">
      <c r="B2" s="276" t="s">
        <v>9</v>
      </c>
      <c r="C2" s="277"/>
      <c r="D2" s="278"/>
      <c r="E2" s="276" t="s">
        <v>7</v>
      </c>
      <c r="F2" s="32"/>
      <c r="G2" s="22" t="s">
        <v>27</v>
      </c>
      <c r="H2" s="23" t="s">
        <v>35</v>
      </c>
      <c r="I2" s="23" t="s">
        <v>28</v>
      </c>
      <c r="J2" s="267" t="s">
        <v>8</v>
      </c>
      <c r="K2" s="268"/>
    </row>
    <row r="3" spans="1:11" ht="27.95" customHeight="1" thickTop="1" thickBot="1">
      <c r="B3" s="279"/>
      <c r="C3" s="280"/>
      <c r="D3" s="281"/>
      <c r="E3" s="279"/>
      <c r="F3" s="32"/>
      <c r="G3" s="24">
        <v>0.4</v>
      </c>
      <c r="H3" s="25">
        <v>0.3</v>
      </c>
      <c r="I3" s="25">
        <v>0.3</v>
      </c>
      <c r="J3" s="269"/>
      <c r="K3" s="270"/>
    </row>
    <row r="4" spans="1:11" ht="108" customHeight="1" thickTop="1" thickBot="1">
      <c r="A4" s="275" t="s">
        <v>87</v>
      </c>
      <c r="B4" s="3" t="s">
        <v>32</v>
      </c>
      <c r="C4" s="274" t="s">
        <v>86</v>
      </c>
      <c r="D4" s="3">
        <v>5</v>
      </c>
      <c r="E4" s="98" t="s">
        <v>48</v>
      </c>
      <c r="F4" s="46"/>
      <c r="G4" s="90" t="s">
        <v>33</v>
      </c>
      <c r="H4" s="89" t="s">
        <v>345</v>
      </c>
      <c r="I4" s="91" t="s">
        <v>347</v>
      </c>
      <c r="J4" s="23">
        <v>5</v>
      </c>
      <c r="K4" s="40" t="s">
        <v>29</v>
      </c>
    </row>
    <row r="5" spans="1:11" ht="111.75" thickTop="1" thickBot="1">
      <c r="A5" s="275"/>
      <c r="B5" s="3" t="s">
        <v>18</v>
      </c>
      <c r="C5" s="274"/>
      <c r="D5" s="3">
        <v>3</v>
      </c>
      <c r="E5" s="98" t="s">
        <v>47</v>
      </c>
      <c r="F5" s="46"/>
      <c r="G5" s="92" t="s">
        <v>34</v>
      </c>
      <c r="H5" s="93" t="s">
        <v>36</v>
      </c>
      <c r="I5" s="94" t="s">
        <v>346</v>
      </c>
      <c r="J5" s="23">
        <v>3</v>
      </c>
      <c r="K5" s="40" t="s">
        <v>30</v>
      </c>
    </row>
    <row r="6" spans="1:11" ht="80.25" thickTop="1" thickBot="1">
      <c r="A6" s="275"/>
      <c r="B6" s="3" t="s">
        <v>19</v>
      </c>
      <c r="C6" s="274"/>
      <c r="D6" s="3">
        <v>1</v>
      </c>
      <c r="E6" s="88" t="s">
        <v>46</v>
      </c>
      <c r="F6" s="46"/>
      <c r="G6" s="95" t="s">
        <v>348</v>
      </c>
      <c r="H6" s="96" t="s">
        <v>37</v>
      </c>
      <c r="I6" s="97" t="s">
        <v>49</v>
      </c>
      <c r="J6" s="44">
        <v>1</v>
      </c>
      <c r="K6" s="45" t="s">
        <v>31</v>
      </c>
    </row>
    <row r="7" spans="1:11" ht="16.5" thickTop="1">
      <c r="G7" s="46"/>
      <c r="H7" s="46"/>
      <c r="I7" s="46"/>
      <c r="J7" s="47"/>
      <c r="K7" s="46"/>
    </row>
    <row r="8" spans="1:11">
      <c r="B8" s="46"/>
      <c r="C8" s="46"/>
      <c r="D8" s="47"/>
      <c r="E8" s="46"/>
      <c r="F8" s="46"/>
    </row>
    <row r="9" spans="1:11" ht="19.5" customHeight="1"/>
    <row r="10" spans="1:11" ht="20.25" customHeight="1"/>
  </sheetData>
  <mergeCells count="7">
    <mergeCell ref="G1:K1"/>
    <mergeCell ref="J2:K3"/>
    <mergeCell ref="B1:E1"/>
    <mergeCell ref="C4:C6"/>
    <mergeCell ref="A4:A6"/>
    <mergeCell ref="B2:D3"/>
    <mergeCell ref="E2:E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3732E-14A1-B048-A47B-C60D83CDE48C}">
  <dimension ref="A1:J11"/>
  <sheetViews>
    <sheetView workbookViewId="0">
      <selection activeCell="G3" sqref="G3"/>
    </sheetView>
  </sheetViews>
  <sheetFormatPr defaultColWidth="10.85546875" defaultRowHeight="12.75"/>
  <cols>
    <col min="1" max="1" width="11.7109375" customWidth="1"/>
    <col min="2" max="2" width="34.140625" customWidth="1"/>
    <col min="3" max="3" width="21.140625" customWidth="1"/>
  </cols>
  <sheetData>
    <row r="1" spans="1:10" ht="16.5" thickBot="1">
      <c r="A1" s="271" t="s">
        <v>12</v>
      </c>
      <c r="B1" s="272"/>
      <c r="C1" s="273"/>
      <c r="E1" s="282" t="s">
        <v>44</v>
      </c>
      <c r="F1" s="282"/>
      <c r="G1" s="282"/>
      <c r="H1" s="282"/>
      <c r="I1" s="282"/>
      <c r="J1" s="282"/>
    </row>
    <row r="2" spans="1:10" ht="63.95" customHeight="1" thickTop="1" thickBot="1">
      <c r="A2" s="31" t="s">
        <v>23</v>
      </c>
      <c r="B2" s="31" t="s">
        <v>3</v>
      </c>
      <c r="C2" s="31" t="s">
        <v>2</v>
      </c>
      <c r="E2" s="283" t="s">
        <v>1</v>
      </c>
      <c r="F2" s="4" t="s">
        <v>29</v>
      </c>
      <c r="G2" s="5">
        <v>5</v>
      </c>
      <c r="H2" s="6">
        <v>5</v>
      </c>
      <c r="I2" s="7">
        <v>15</v>
      </c>
      <c r="J2" s="7">
        <v>25</v>
      </c>
    </row>
    <row r="3" spans="1:10" ht="56.1" customHeight="1" thickTop="1" thickBot="1">
      <c r="A3" s="26" t="s">
        <v>77</v>
      </c>
      <c r="B3" s="27" t="s">
        <v>39</v>
      </c>
      <c r="C3" s="28" t="s">
        <v>21</v>
      </c>
      <c r="E3" s="284"/>
      <c r="F3" s="4" t="s">
        <v>30</v>
      </c>
      <c r="G3" s="5">
        <v>3</v>
      </c>
      <c r="H3" s="8">
        <v>3</v>
      </c>
      <c r="I3" s="6">
        <v>9</v>
      </c>
      <c r="J3" s="7">
        <v>15</v>
      </c>
    </row>
    <row r="4" spans="1:10" ht="65.099999999999994" customHeight="1" thickTop="1" thickBot="1">
      <c r="A4" s="29" t="s">
        <v>78</v>
      </c>
      <c r="B4" s="27" t="s">
        <v>73</v>
      </c>
      <c r="C4" s="28" t="s">
        <v>20</v>
      </c>
      <c r="E4" s="284"/>
      <c r="F4" s="4" t="s">
        <v>42</v>
      </c>
      <c r="G4" s="5">
        <v>1</v>
      </c>
      <c r="H4" s="9">
        <v>1</v>
      </c>
      <c r="I4" s="10">
        <v>3</v>
      </c>
      <c r="J4" s="11">
        <v>5</v>
      </c>
    </row>
    <row r="5" spans="1:10" ht="39" thickTop="1">
      <c r="A5" s="30" t="s">
        <v>79</v>
      </c>
      <c r="B5" s="27" t="s">
        <v>74</v>
      </c>
      <c r="C5" s="28" t="s">
        <v>22</v>
      </c>
      <c r="E5" s="284"/>
      <c r="F5" s="2"/>
      <c r="G5" s="12"/>
      <c r="H5" s="13">
        <v>1</v>
      </c>
      <c r="I5" s="13">
        <v>3</v>
      </c>
      <c r="J5" s="13">
        <v>5</v>
      </c>
    </row>
    <row r="6" spans="1:10" ht="15.75" thickBot="1">
      <c r="E6" s="284"/>
      <c r="F6" s="2"/>
      <c r="G6" s="12"/>
      <c r="H6" s="14" t="s">
        <v>19</v>
      </c>
      <c r="I6" s="14" t="s">
        <v>18</v>
      </c>
      <c r="J6" s="14" t="s">
        <v>32</v>
      </c>
    </row>
    <row r="7" spans="1:10" ht="14.1" customHeight="1" thickTop="1">
      <c r="F7" s="282" t="s">
        <v>43</v>
      </c>
      <c r="G7" s="285"/>
      <c r="H7" s="285"/>
      <c r="I7" s="285"/>
      <c r="J7" s="285"/>
    </row>
    <row r="8" spans="1:10">
      <c r="F8" s="282"/>
      <c r="G8" s="285"/>
      <c r="H8" s="285"/>
      <c r="I8" s="285"/>
      <c r="J8" s="285"/>
    </row>
    <row r="9" spans="1:10">
      <c r="F9" s="282"/>
      <c r="G9" s="285"/>
      <c r="H9" s="285"/>
      <c r="I9" s="285"/>
      <c r="J9" s="285"/>
    </row>
    <row r="10" spans="1:10">
      <c r="F10" s="282"/>
      <c r="G10" s="285"/>
      <c r="H10" s="285"/>
      <c r="I10" s="285"/>
      <c r="J10" s="285"/>
    </row>
    <row r="11" spans="1:10">
      <c r="F11" s="282"/>
      <c r="G11" s="285"/>
      <c r="H11" s="285"/>
      <c r="I11" s="285"/>
      <c r="J11" s="285"/>
    </row>
  </sheetData>
  <mergeCells count="4">
    <mergeCell ref="A1:C1"/>
    <mergeCell ref="E1:J1"/>
    <mergeCell ref="E2:E6"/>
    <mergeCell ref="F7:J1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87791-6113-F84B-B7D8-0F49A8515C17}">
  <dimension ref="A1:B11"/>
  <sheetViews>
    <sheetView workbookViewId="0">
      <selection activeCell="B16" sqref="B16"/>
    </sheetView>
  </sheetViews>
  <sheetFormatPr defaultColWidth="10.85546875" defaultRowHeight="12.75"/>
  <cols>
    <col min="1" max="1" width="16.85546875" customWidth="1"/>
    <col min="2" max="2" width="91.42578125" customWidth="1"/>
  </cols>
  <sheetData>
    <row r="1" spans="1:2" ht="16.5" thickTop="1">
      <c r="A1" s="286" t="s">
        <v>84</v>
      </c>
      <c r="B1" s="287"/>
    </row>
    <row r="2" spans="1:2" ht="31.5">
      <c r="A2" s="38" t="s">
        <v>15</v>
      </c>
      <c r="B2" s="39" t="s">
        <v>57</v>
      </c>
    </row>
    <row r="3" spans="1:2" ht="63">
      <c r="A3" s="38" t="s">
        <v>16</v>
      </c>
      <c r="B3" s="39" t="s">
        <v>55</v>
      </c>
    </row>
    <row r="4" spans="1:2" ht="31.5">
      <c r="A4" s="41" t="s">
        <v>25</v>
      </c>
      <c r="B4" s="39" t="s">
        <v>24</v>
      </c>
    </row>
    <row r="5" spans="1:2" ht="32.25" thickBot="1">
      <c r="A5" s="42" t="s">
        <v>17</v>
      </c>
      <c r="B5" s="43" t="s">
        <v>56</v>
      </c>
    </row>
    <row r="6" spans="1:2" ht="13.5" thickTop="1"/>
    <row r="7" spans="1:2" ht="13.5" thickBot="1"/>
    <row r="8" spans="1:2" ht="16.5" thickTop="1">
      <c r="A8" s="286" t="s">
        <v>75</v>
      </c>
      <c r="B8" s="287"/>
    </row>
    <row r="9" spans="1:2" ht="63" customHeight="1">
      <c r="A9" s="61" t="s">
        <v>76</v>
      </c>
      <c r="B9" s="39" t="s">
        <v>354</v>
      </c>
    </row>
    <row r="10" spans="1:2" ht="75.95" customHeight="1">
      <c r="A10" s="62" t="s">
        <v>80</v>
      </c>
      <c r="B10" s="39" t="s">
        <v>82</v>
      </c>
    </row>
    <row r="11" spans="1:2" ht="78" customHeight="1">
      <c r="A11" s="63" t="s">
        <v>81</v>
      </c>
      <c r="B11" s="39" t="s">
        <v>83</v>
      </c>
    </row>
  </sheetData>
  <mergeCells count="2">
    <mergeCell ref="A1:B1"/>
    <mergeCell ref="A8:B8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4"/>
  <dimension ref="A1"/>
  <sheetViews>
    <sheetView workbookViewId="0"/>
  </sheetViews>
  <sheetFormatPr defaultColWidth="8.85546875" defaultRowHeight="12.75"/>
  <sheetData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5"/>
  <dimension ref="B7:B9"/>
  <sheetViews>
    <sheetView workbookViewId="0">
      <selection activeCell="B11" sqref="B11"/>
    </sheetView>
  </sheetViews>
  <sheetFormatPr defaultColWidth="8.85546875" defaultRowHeight="12.75"/>
  <cols>
    <col min="2" max="2" width="27.42578125" customWidth="1"/>
  </cols>
  <sheetData>
    <row r="7" spans="2:2">
      <c r="B7" t="s">
        <v>4</v>
      </c>
    </row>
    <row r="8" spans="2:2">
      <c r="B8" t="s">
        <v>6</v>
      </c>
    </row>
    <row r="9" spans="2:2">
      <c r="B9" t="s">
        <v>5</v>
      </c>
    </row>
  </sheetData>
  <sheetProtection algorithmName="SHA-512" hashValue="0OuE024ke+kRqsOtSFCd4fCwihPwDx4ZpVaTBqpzWaaFcN/cUoZW+EqAZuW/StghKO+yMLNk9V4CK1KTq9OOmg==" saltValue="gxRzP6YMQNs/ppZ3BNn+jA==" spinCount="100000" sheet="1" objects="1" scenarios="1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6"/>
  <dimension ref="B3"/>
  <sheetViews>
    <sheetView topLeftCell="A13" workbookViewId="0">
      <selection activeCell="E19" sqref="E19"/>
    </sheetView>
  </sheetViews>
  <sheetFormatPr defaultColWidth="8.85546875" defaultRowHeight="12.75"/>
  <sheetData>
    <row r="3" spans="2:2" ht="18.75">
      <c r="B3" s="1" t="s">
        <v>0</v>
      </c>
    </row>
  </sheetData>
  <customSheetViews>
    <customSheetView guid="{1B4AE936-FA30-4AED-ABA3-0D66802EE8C5}" state="hidden">
      <selection activeCell="B37" sqref="B37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2DBB1777-3400-47E9-BA4F-DF33B1E9CB70}" state="hidden">
      <selection activeCell="B37" sqref="B37"/>
      <pageMargins left="0.511811024" right="0.511811024" top="0.78740157499999996" bottom="0.78740157499999996" header="0.31496062000000002" footer="0.31496062000000002"/>
      <pageSetup paperSize="9" orientation="portrait" r:id="rId2"/>
    </customSheetView>
  </customSheetViews>
  <pageMargins left="0.511811024" right="0.511811024" top="0.78740157499999996" bottom="0.78740157499999996" header="0.31496062000000002" footer="0.31496062000000002"/>
  <pageSetup paperSize="9" orientation="portrait" r:id="rId3"/>
</worksheet>
</file>

<file path=docMetadata/LabelInfo.xml><?xml version="1.0" encoding="utf-8"?>
<clbl:labelList xmlns:clbl="http://schemas.microsoft.com/office/2020/mipLabelMetadata">
  <clbl:label id="{26523bf9-62ff-46b8-971b-9f6596da50c8}" enabled="1" method="Standard" siteId="{e8782eb5-7640-4ac4-a813-63ada3587d7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1</vt:i4>
      </vt:variant>
    </vt:vector>
  </HeadingPairs>
  <TitlesOfParts>
    <vt:vector size="11" baseType="lpstr">
      <vt:lpstr>Análise de riscos </vt:lpstr>
      <vt:lpstr>Plano de Tratamento </vt:lpstr>
      <vt:lpstr>Matriz CRC</vt:lpstr>
      <vt:lpstr>Controle-avaliação</vt:lpstr>
      <vt:lpstr>Probabilidade e Impacto</vt:lpstr>
      <vt:lpstr>Escala Nível de Risco</vt:lpstr>
      <vt:lpstr>Respostas aos riscos </vt:lpstr>
      <vt:lpstr>Plan1</vt:lpstr>
      <vt:lpstr>Sobre</vt:lpstr>
      <vt:lpstr>MapXConst.Controles</vt:lpstr>
      <vt:lpstr>Operacional</vt:lpstr>
    </vt:vector>
  </TitlesOfParts>
  <Manager/>
  <Company>íntegro valor 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Gestão de Riscos</dc:title>
  <dc:subject>Gestão de Riscos</dc:subject>
  <dc:creator>célia lima negrao </dc:creator>
  <cp:keywords/>
  <dc:description/>
  <cp:lastModifiedBy>Andressa Maria Alves Vaz</cp:lastModifiedBy>
  <cp:lastPrinted>2017-09-20T11:32:42Z</cp:lastPrinted>
  <dcterms:created xsi:type="dcterms:W3CDTF">2014-08-07T19:36:02Z</dcterms:created>
  <dcterms:modified xsi:type="dcterms:W3CDTF">2025-04-28T18:14:52Z</dcterms:modified>
  <cp:category/>
</cp:coreProperties>
</file>